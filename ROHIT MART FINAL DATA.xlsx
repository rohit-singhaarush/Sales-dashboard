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XCEL DASH BOARD\"/>
    </mc:Choice>
  </mc:AlternateContent>
  <xr:revisionPtr revIDLastSave="0" documentId="13_ncr:1_{BB7627D4-0E1A-4DA5-BDF4-A25BE93A386D}" xr6:coauthVersionLast="47" xr6:coauthVersionMax="47" xr10:uidLastSave="{00000000-0000-0000-0000-000000000000}"/>
  <bookViews>
    <workbookView xWindow="-108" yWindow="-108" windowWidth="23256" windowHeight="12456" activeTab="2" xr2:uid="{00000000-000D-0000-FFFF-FFFF00000000}"/>
  </bookViews>
  <sheets>
    <sheet name="KPI" sheetId="4" r:id="rId1"/>
    <sheet name="data" sheetId="2" r:id="rId2"/>
    <sheet name="Dashboard" sheetId="5" r:id="rId3"/>
  </sheets>
  <definedNames>
    <definedName name="_xlchart.v1.0" hidden="1">KPI!$X$30:$X$41</definedName>
    <definedName name="_xlchart.v1.1" hidden="1">KPI!$Y$30:$Y$41</definedName>
    <definedName name="_xlchart.v1.20" hidden="1">KPI!$X$30:$X$41</definedName>
    <definedName name="_xlchart.v1.21" hidden="1">KPI!$Y$30:$Y$41</definedName>
    <definedName name="_xlchart.v5.10" hidden="1">KPI!$AH$26:$AH$31</definedName>
    <definedName name="_xlchart.v5.11" hidden="1">KPI!$AG$25</definedName>
    <definedName name="_xlchart.v5.12" hidden="1">KPI!$AG$26:$AG$31</definedName>
    <definedName name="_xlchart.v5.13" hidden="1">KPI!$AH$24</definedName>
    <definedName name="_xlchart.v5.14" hidden="1">KPI!$AH$25</definedName>
    <definedName name="_xlchart.v5.15" hidden="1">KPI!$AH$26:$AH$31</definedName>
    <definedName name="_xlchart.v5.16" hidden="1">KPI!$AG$25</definedName>
    <definedName name="_xlchart.v5.17" hidden="1">KPI!$AG$26:$AG$31</definedName>
    <definedName name="_xlchart.v5.18" hidden="1">KPI!$AH$25</definedName>
    <definedName name="_xlchart.v5.19" hidden="1">KPI!$AH$26:$AH$31</definedName>
    <definedName name="_xlchart.v5.2" hidden="1">KPI!$AG$25</definedName>
    <definedName name="_xlchart.v5.3" hidden="1">KPI!$AG$26:$AG$31</definedName>
    <definedName name="_xlchart.v5.4" hidden="1">KPI!$AH$24</definedName>
    <definedName name="_xlchart.v5.5" hidden="1">KPI!$AH$25</definedName>
    <definedName name="_xlchart.v5.6" hidden="1">KPI!$AH$26:$AH$31</definedName>
    <definedName name="_xlchart.v5.7" hidden="1">KPI!$AG$25</definedName>
    <definedName name="_xlchart.v5.8" hidden="1">KPI!$AG$26:$AG$31</definedName>
    <definedName name="_xlchart.v5.9" hidden="1">KPI!$AH$25</definedName>
    <definedName name="Slicer_Category">#N/A</definedName>
  </definedNames>
  <calcPr calcId="191029"/>
  <pivotCaches>
    <pivotCache cacheId="3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4" l="1"/>
  <c r="J11" i="4"/>
  <c r="E11" i="4"/>
  <c r="A271" i="2" l="1"/>
  <c r="A1158" i="2"/>
  <c r="A338" i="2"/>
  <c r="A795" i="2"/>
  <c r="A186" i="2"/>
  <c r="A110" i="2"/>
  <c r="A1004" i="2"/>
  <c r="A708" i="2"/>
  <c r="A54" i="2"/>
  <c r="A787" i="2"/>
  <c r="A442" i="2"/>
  <c r="A1200" i="2"/>
  <c r="A173" i="2"/>
  <c r="A260" i="2"/>
  <c r="A714" i="2"/>
  <c r="A187" i="2"/>
  <c r="A11" i="2"/>
  <c r="A7" i="2"/>
  <c r="A622" i="2"/>
  <c r="A985" i="2"/>
  <c r="A608" i="2"/>
  <c r="A737" i="2"/>
  <c r="A964" i="2"/>
  <c r="A709" i="2"/>
  <c r="A817" i="2"/>
  <c r="A481" i="2"/>
  <c r="A426" i="2"/>
  <c r="A1048" i="2"/>
  <c r="A256" i="2"/>
  <c r="A586" i="2"/>
  <c r="A118" i="2"/>
  <c r="A152" i="2"/>
  <c r="A937" i="2"/>
  <c r="A333" i="2"/>
  <c r="A281" i="2"/>
  <c r="A682" i="2"/>
  <c r="A1056" i="2"/>
  <c r="A494" i="2"/>
  <c r="A869" i="2"/>
  <c r="A1049" i="2"/>
  <c r="A222" i="2"/>
  <c r="A725" i="2"/>
  <c r="A1052" i="2"/>
  <c r="A109" i="2"/>
  <c r="A1160" i="2"/>
  <c r="A870" i="2"/>
  <c r="A933" i="2"/>
  <c r="A654" i="2"/>
  <c r="A729" i="2"/>
  <c r="A980" i="2"/>
  <c r="A1136" i="2"/>
  <c r="A890" i="2"/>
  <c r="A749" i="2"/>
  <c r="A1176" i="2"/>
  <c r="A849" i="2"/>
  <c r="A989" i="2"/>
  <c r="A257" i="2"/>
  <c r="A757" i="2"/>
  <c r="A248" i="2"/>
  <c r="A765" i="2"/>
  <c r="A634" i="2"/>
  <c r="A895" i="2"/>
  <c r="A15" i="2"/>
  <c r="A379" i="2"/>
  <c r="A201" i="2"/>
  <c r="A1039" i="2"/>
  <c r="A239" i="2"/>
  <c r="A1034" i="2"/>
  <c r="A13" i="2"/>
  <c r="A443" i="2"/>
  <c r="A280" i="2"/>
  <c r="A741" i="2"/>
  <c r="A461" i="2"/>
  <c r="A662" i="2"/>
  <c r="A33" i="2"/>
  <c r="A422" i="2"/>
  <c r="A1131" i="2"/>
  <c r="A782" i="2"/>
  <c r="A798" i="2"/>
  <c r="A60" i="2"/>
  <c r="A669" i="2"/>
  <c r="A942" i="2"/>
  <c r="A922" i="2"/>
  <c r="A451" i="2"/>
  <c r="A766" i="2"/>
  <c r="A332" i="2"/>
  <c r="A923" i="2"/>
  <c r="A879" i="2"/>
  <c r="A352" i="2"/>
  <c r="A1166" i="2"/>
  <c r="A1170" i="2"/>
  <c r="A520" i="2"/>
  <c r="A1105" i="2"/>
  <c r="A245" i="2"/>
  <c r="A819" i="2"/>
  <c r="A329" i="2"/>
  <c r="A517" i="2"/>
  <c r="A993" i="2"/>
  <c r="A852" i="2"/>
  <c r="A640" i="2"/>
  <c r="A275" i="2"/>
  <c r="A84" i="2"/>
  <c r="A570" i="2"/>
  <c r="A143" i="2"/>
  <c r="A1081" i="2"/>
  <c r="A1033" i="2"/>
  <c r="A431" i="2"/>
  <c r="A454" i="2"/>
  <c r="A950" i="2"/>
  <c r="A148" i="2"/>
  <c r="A336" i="2"/>
  <c r="A995" i="2"/>
  <c r="A285" i="2"/>
  <c r="A724" i="2"/>
  <c r="A78" i="2"/>
  <c r="A796" i="2"/>
  <c r="A327" i="2"/>
  <c r="A343" i="2"/>
  <c r="A155" i="2"/>
  <c r="A767" i="2"/>
  <c r="A259" i="2"/>
  <c r="A930" i="2"/>
  <c r="A421" i="2"/>
  <c r="A977" i="2"/>
  <c r="A154" i="2"/>
  <c r="A59" i="2"/>
  <c r="A552" i="2"/>
  <c r="A560" i="2"/>
  <c r="A938" i="2"/>
  <c r="A632" i="2"/>
  <c r="A644" i="2"/>
  <c r="A185" i="2"/>
  <c r="A759" i="2"/>
  <c r="A85" i="2"/>
  <c r="A1090" i="2"/>
  <c r="A205" i="2"/>
  <c r="A230" i="2"/>
  <c r="A373" i="2"/>
  <c r="A881" i="2"/>
  <c r="A1155" i="2"/>
  <c r="A209" i="2"/>
  <c r="A1012" i="2"/>
  <c r="A184" i="2"/>
  <c r="A981" i="2"/>
  <c r="A351" i="2"/>
  <c r="A142" i="2"/>
  <c r="A871" i="2"/>
  <c r="A295" i="2"/>
  <c r="A768" i="2"/>
  <c r="A935" i="2"/>
  <c r="A258" i="2"/>
  <c r="A723" i="2"/>
  <c r="A307" i="2"/>
  <c r="A1058" i="2"/>
  <c r="A251" i="2"/>
  <c r="A1173" i="2"/>
  <c r="A81" i="2"/>
  <c r="A548" i="2"/>
  <c r="A883" i="2"/>
  <c r="A1164" i="2"/>
  <c r="A22" i="2"/>
  <c r="A1055" i="2"/>
  <c r="A223" i="2"/>
  <c r="A309" i="2"/>
  <c r="A337" i="2"/>
  <c r="A232" i="2"/>
  <c r="A615" i="2"/>
  <c r="A599" i="2"/>
  <c r="A37" i="2"/>
  <c r="A645" i="2"/>
  <c r="A939" i="2"/>
  <c r="A19" i="2"/>
  <c r="A529" i="2"/>
  <c r="A845" i="2"/>
  <c r="A970" i="2"/>
  <c r="A713" i="2"/>
  <c r="A427" i="2"/>
  <c r="A743" i="2"/>
  <c r="A652" i="2"/>
  <c r="A753" i="2"/>
  <c r="A74" i="2"/>
  <c r="A1168" i="2"/>
  <c r="A735" i="2"/>
  <c r="A722" i="2"/>
  <c r="A104" i="2"/>
  <c r="A638" i="2"/>
  <c r="A208" i="2"/>
  <c r="A312" i="2"/>
  <c r="A702" i="2"/>
  <c r="A1165" i="2"/>
  <c r="A1086" i="2"/>
  <c r="A542" i="2"/>
  <c r="A453" i="2"/>
  <c r="A593" i="2"/>
  <c r="A562" i="2"/>
  <c r="A1057" i="2"/>
  <c r="A130" i="2"/>
  <c r="A286" i="2"/>
  <c r="A1014" i="2"/>
  <c r="A1050" i="2"/>
  <c r="A1177" i="2"/>
  <c r="A739" i="2"/>
  <c r="A315" i="2"/>
  <c r="A477" i="2"/>
  <c r="A231" i="2"/>
  <c r="A487" i="2"/>
  <c r="A1112" i="2"/>
  <c r="A778" i="2"/>
  <c r="A420" i="2"/>
  <c r="A624" i="2"/>
  <c r="A917" i="2"/>
  <c r="A99" i="2"/>
  <c r="A1089" i="2"/>
  <c r="A999" i="2"/>
  <c r="A677" i="2"/>
  <c r="A526" i="2"/>
  <c r="A955" i="2"/>
  <c r="A616" i="2"/>
  <c r="A147" i="2"/>
  <c r="A698" i="2"/>
  <c r="A1074" i="2"/>
  <c r="A693" i="2"/>
  <c r="A368" i="2"/>
  <c r="A243" i="2"/>
  <c r="A192" i="2"/>
  <c r="A755" i="2"/>
  <c r="A948" i="2"/>
  <c r="A176" i="2"/>
  <c r="A89" i="2"/>
  <c r="A941" i="2"/>
  <c r="A808" i="2"/>
  <c r="A160" i="2"/>
  <c r="A1079" i="2"/>
  <c r="A639" i="2"/>
  <c r="A740" i="2"/>
  <c r="A322" i="2"/>
  <c r="A55" i="2"/>
  <c r="A893" i="2"/>
  <c r="A635" i="2"/>
  <c r="A356" i="2"/>
  <c r="A543" i="2"/>
  <c r="A417" i="2"/>
  <c r="A298" i="2"/>
  <c r="A572" i="2"/>
  <c r="A752" i="2"/>
  <c r="A197" i="2"/>
  <c r="A219" i="2"/>
  <c r="A1108" i="2"/>
  <c r="A710" i="2"/>
  <c r="A1134" i="2"/>
  <c r="A124" i="2"/>
  <c r="A3" i="2"/>
  <c r="A512" i="2"/>
  <c r="A1133" i="2"/>
  <c r="A784" i="2"/>
  <c r="A907" i="2"/>
  <c r="A326" i="2"/>
  <c r="A660" i="2"/>
  <c r="A27" i="2"/>
  <c r="A61" i="2"/>
  <c r="A385" i="2"/>
  <c r="A48" i="2"/>
  <c r="A67" i="2"/>
  <c r="A658" i="2"/>
  <c r="A424" i="2"/>
  <c r="A1144" i="2"/>
  <c r="A412" i="2"/>
  <c r="A532" i="2"/>
  <c r="A265" i="2"/>
  <c r="A775" i="2"/>
  <c r="A508" i="2"/>
  <c r="A791" i="2"/>
  <c r="A216" i="2"/>
  <c r="A1066" i="2"/>
  <c r="A857" i="2"/>
  <c r="A892" i="2"/>
  <c r="A684" i="2"/>
  <c r="A49" i="2"/>
  <c r="A244" i="2"/>
  <c r="A474" i="2"/>
  <c r="A303" i="2"/>
  <c r="A140" i="2"/>
  <c r="A855" i="2"/>
  <c r="A50" i="2"/>
  <c r="A610" i="2"/>
  <c r="A547" i="2"/>
  <c r="A988" i="2"/>
  <c r="A853" i="2"/>
  <c r="A116" i="2"/>
  <c r="A776" i="2"/>
  <c r="A238" i="2"/>
  <c r="A774" i="2"/>
  <c r="A688" i="2"/>
  <c r="A334" i="2"/>
  <c r="A1110" i="2"/>
  <c r="A253" i="2"/>
  <c r="A348" i="2"/>
  <c r="A475" i="2"/>
  <c r="A975" i="2"/>
  <c r="A781" i="2"/>
  <c r="A1156" i="2"/>
  <c r="A519" i="2"/>
  <c r="A1065" i="2"/>
  <c r="A65" i="2"/>
  <c r="A822" i="2"/>
  <c r="A233" i="2"/>
  <c r="A744" i="2"/>
  <c r="A158" i="2"/>
  <c r="A139" i="2"/>
  <c r="A20" i="2"/>
  <c r="A629" i="2"/>
  <c r="A727" i="2"/>
  <c r="A842" i="2"/>
  <c r="A341" i="2"/>
  <c r="A249" i="2"/>
  <c r="A716" i="2"/>
  <c r="A897" i="2"/>
  <c r="A149" i="2"/>
  <c r="A465" i="2"/>
  <c r="A1006" i="2"/>
  <c r="A910" i="2"/>
  <c r="A860" i="2"/>
  <c r="A812" i="2"/>
  <c r="A393" i="2"/>
  <c r="A398" i="2"/>
  <c r="A272" i="2"/>
  <c r="A66" i="2"/>
  <c r="A330" i="2"/>
  <c r="A462" i="2"/>
  <c r="A675" i="2"/>
  <c r="A90" i="2"/>
  <c r="A1117" i="2"/>
  <c r="A561" i="2"/>
  <c r="A680" i="2"/>
  <c r="A473" i="2"/>
  <c r="A107" i="2"/>
  <c r="A596" i="2"/>
  <c r="A986" i="2"/>
  <c r="A711" i="2"/>
  <c r="A843" i="2"/>
  <c r="A369" i="2"/>
  <c r="A1185" i="2"/>
  <c r="A1157" i="2"/>
  <c r="A1032" i="2"/>
  <c r="A788" i="2"/>
  <c r="A1007" i="2"/>
  <c r="A997" i="2"/>
  <c r="A1130" i="2"/>
  <c r="A516" i="2"/>
  <c r="A88" i="2"/>
  <c r="A69" i="2"/>
  <c r="A889" i="2"/>
  <c r="A717" i="2"/>
  <c r="A1174" i="2"/>
  <c r="A96" i="2"/>
  <c r="A703" i="2"/>
  <c r="A825" i="2"/>
  <c r="A476" i="2"/>
  <c r="A665" i="2"/>
  <c r="A419" i="2"/>
  <c r="A690" i="2"/>
  <c r="A1088" i="2"/>
  <c r="A123" i="2"/>
  <c r="A718" i="2"/>
  <c r="A87" i="2"/>
  <c r="A137" i="2"/>
  <c r="A1009" i="2"/>
  <c r="A904" i="2"/>
  <c r="A26" i="2"/>
  <c r="A359" i="2"/>
  <c r="A758" i="2"/>
  <c r="A803" i="2"/>
  <c r="A691" i="2"/>
  <c r="A641" i="2"/>
  <c r="A25" i="2"/>
  <c r="A255" i="2"/>
  <c r="A1015" i="2"/>
  <c r="A288" i="2"/>
  <c r="A1118" i="2"/>
  <c r="A746" i="2"/>
  <c r="A106" i="2"/>
  <c r="A700" i="2"/>
  <c r="A435" i="2"/>
  <c r="A1025" i="2"/>
  <c r="A381" i="2"/>
  <c r="A535" i="2"/>
  <c r="A499" i="2"/>
  <c r="A213" i="2"/>
  <c r="A968" i="2"/>
  <c r="A699" i="2"/>
  <c r="A112" i="2"/>
  <c r="A1111" i="2"/>
  <c r="A225" i="2"/>
  <c r="A498" i="2"/>
  <c r="A790" i="2"/>
  <c r="A28" i="2"/>
  <c r="A212" i="2"/>
  <c r="A399" i="2"/>
  <c r="A263" i="2"/>
  <c r="A1137" i="2"/>
  <c r="A1000" i="2"/>
  <c r="A467" i="2"/>
  <c r="A1139" i="2"/>
  <c r="A1162" i="2"/>
  <c r="A91" i="2"/>
  <c r="A559" i="2"/>
  <c r="A1149" i="2"/>
  <c r="A391" i="2"/>
  <c r="A497" i="2"/>
  <c r="A407" i="2"/>
  <c r="A1005" i="2"/>
  <c r="A575" i="2"/>
  <c r="A452" i="2"/>
  <c r="A4" i="2"/>
  <c r="A1045" i="2"/>
  <c r="A129" i="2"/>
  <c r="A269" i="2"/>
  <c r="A1027" i="2"/>
  <c r="A413" i="2"/>
  <c r="A1096" i="2"/>
  <c r="A277" i="2"/>
  <c r="A576" i="2"/>
  <c r="A145" i="2"/>
  <c r="A692" i="2"/>
  <c r="A668" i="2"/>
  <c r="A377" i="2"/>
  <c r="A1031" i="2"/>
  <c r="A646" i="2"/>
  <c r="A1101" i="2"/>
  <c r="A650" i="2"/>
  <c r="A567" i="2"/>
  <c r="A12" i="2"/>
  <c r="A441" i="2"/>
  <c r="A539" i="2"/>
  <c r="A97" i="2"/>
  <c r="A162" i="2"/>
  <c r="A785" i="2"/>
  <c r="A172" i="2"/>
  <c r="A39" i="2"/>
  <c r="A666" i="2"/>
  <c r="A1190" i="2"/>
  <c r="A844" i="2"/>
  <c r="A865" i="2"/>
  <c r="A40" i="2"/>
  <c r="A533" i="2"/>
  <c r="A1178" i="2"/>
  <c r="A394" i="2"/>
  <c r="A471" i="2"/>
  <c r="A555" i="2"/>
  <c r="A1087" i="2"/>
  <c r="A119" i="2"/>
  <c r="A292" i="2"/>
  <c r="A191" i="2"/>
  <c r="A279" i="2"/>
  <c r="A134" i="2"/>
  <c r="A466" i="2"/>
  <c r="A742" i="2"/>
  <c r="A1062" i="2"/>
  <c r="A994" i="2"/>
  <c r="A712" i="2"/>
  <c r="A302" i="2"/>
  <c r="A783" i="2"/>
  <c r="A237" i="2"/>
  <c r="A604" i="2"/>
  <c r="A202" i="2"/>
  <c r="A1193" i="2"/>
  <c r="A592" i="2"/>
  <c r="A916" i="2"/>
  <c r="A221" i="2"/>
  <c r="A829" i="2"/>
  <c r="A347" i="2"/>
  <c r="A316" i="2"/>
  <c r="A180" i="2"/>
  <c r="A1026" i="2"/>
  <c r="A1070" i="2"/>
  <c r="A21" i="2"/>
  <c r="A457" i="2"/>
  <c r="A619" i="2"/>
  <c r="A900" i="2"/>
  <c r="A261" i="2"/>
  <c r="A733" i="2"/>
  <c r="A832" i="2"/>
  <c r="A926" i="2"/>
  <c r="A167" i="2"/>
  <c r="A720" i="2"/>
  <c r="A1053" i="2"/>
  <c r="A962" i="2"/>
  <c r="A1099" i="2"/>
  <c r="A841" i="2"/>
  <c r="A41" i="2"/>
  <c r="A1097" i="2"/>
  <c r="A301" i="2"/>
  <c r="A17" i="2"/>
  <c r="A549" i="2"/>
  <c r="A383" i="2"/>
  <c r="A1115" i="2"/>
  <c r="A756" i="2"/>
  <c r="A609" i="2"/>
  <c r="A1184" i="2"/>
  <c r="A314" i="2"/>
  <c r="A151" i="2"/>
  <c r="A1113" i="2"/>
  <c r="A607" i="2"/>
  <c r="A282" i="2"/>
  <c r="A661" i="2"/>
  <c r="A196" i="2"/>
  <c r="A1054" i="2"/>
  <c r="A446" i="2"/>
  <c r="A919" i="2"/>
  <c r="A493" i="2"/>
  <c r="A595" i="2"/>
  <c r="A484" i="2"/>
  <c r="A270" i="2"/>
  <c r="A878" i="2"/>
  <c r="A100" i="2"/>
  <c r="A736" i="2"/>
  <c r="A571" i="2"/>
  <c r="A77" i="2"/>
  <c r="A971" i="2"/>
  <c r="A528" i="2"/>
  <c r="A630" i="2"/>
  <c r="A670" i="2"/>
  <c r="A79" i="2"/>
  <c r="A297" i="2"/>
  <c r="A458" i="2"/>
  <c r="A1078" i="2"/>
  <c r="A1106" i="2"/>
  <c r="A927" i="2"/>
  <c r="A902" i="2"/>
  <c r="A956" i="2"/>
  <c r="A848" i="2"/>
  <c r="A581" i="2"/>
  <c r="A974" i="2"/>
  <c r="A18" i="2"/>
  <c r="A750" i="2"/>
  <c r="A648" i="2"/>
  <c r="A673" i="2"/>
  <c r="A1103" i="2"/>
  <c r="A643" i="2"/>
  <c r="A254" i="2"/>
  <c r="A525" i="2"/>
  <c r="A637" i="2"/>
  <c r="A996" i="2"/>
  <c r="A211" i="2"/>
  <c r="A1094" i="2"/>
  <c r="A146" i="2"/>
  <c r="A409" i="2"/>
  <c r="A304" i="2"/>
  <c r="A440" i="2"/>
  <c r="A1019" i="2"/>
  <c r="A92" i="2"/>
  <c r="A469" i="2"/>
  <c r="A990" i="2"/>
  <c r="A354" i="2"/>
  <c r="A190" i="2"/>
  <c r="A117" i="2"/>
  <c r="A76" i="2"/>
  <c r="A1188" i="2"/>
  <c r="A43" i="2"/>
  <c r="A195" i="2"/>
  <c r="A972" i="2"/>
  <c r="A864" i="2"/>
  <c r="A335" i="2"/>
  <c r="A577" i="2"/>
  <c r="A150" i="2"/>
  <c r="A945" i="2"/>
  <c r="A905" i="2"/>
  <c r="A839" i="2"/>
  <c r="A8" i="2"/>
  <c r="A1179" i="2"/>
  <c r="A949" i="2"/>
  <c r="A730" i="2"/>
  <c r="A800" i="2"/>
  <c r="A882" i="2"/>
  <c r="A310" i="2"/>
  <c r="A984" i="2"/>
  <c r="A397" i="2"/>
  <c r="A182" i="2"/>
  <c r="A1095" i="2"/>
  <c r="A30" i="2"/>
  <c r="A551" i="2"/>
  <c r="A247" i="2"/>
  <c r="A585" i="2"/>
  <c r="A1167" i="2"/>
  <c r="A763" i="2"/>
  <c r="A44" i="2"/>
  <c r="A536" i="2"/>
  <c r="A5" i="2"/>
  <c r="A563" i="2"/>
  <c r="A888" i="2"/>
  <c r="A687" i="2"/>
  <c r="A276" i="2"/>
  <c r="A924" i="2"/>
  <c r="A423" i="2"/>
  <c r="A934" i="2"/>
  <c r="A982" i="2"/>
  <c r="A531" i="2"/>
  <c r="A1076" i="2"/>
  <c r="A1040" i="2"/>
  <c r="A894" i="2"/>
  <c r="A490" i="2"/>
  <c r="A715" i="2"/>
  <c r="A1142" i="2"/>
  <c r="A296" i="2"/>
  <c r="A250" i="2"/>
  <c r="A1018" i="2"/>
  <c r="A1138" i="2"/>
  <c r="A131" i="2"/>
  <c r="A98" i="2"/>
  <c r="A178" i="2"/>
  <c r="A979" i="2"/>
  <c r="A628" i="2"/>
  <c r="A364" i="2"/>
  <c r="A1082" i="2"/>
  <c r="A447" i="2"/>
  <c r="A418" i="2"/>
  <c r="A614" i="2"/>
  <c r="A387" i="2"/>
  <c r="A1171" i="2"/>
  <c r="A863" i="2"/>
  <c r="A1182" i="2"/>
  <c r="A125" i="2"/>
  <c r="A603" i="2"/>
  <c r="A488" i="2"/>
  <c r="A349" i="2"/>
  <c r="A1020" i="2"/>
  <c r="A568" i="2"/>
  <c r="A380" i="2"/>
  <c r="A589" i="2"/>
  <c r="A835" i="2"/>
  <c r="A1153" i="2"/>
  <c r="A1148" i="2"/>
  <c r="A1100" i="2"/>
  <c r="A189" i="2"/>
  <c r="A1003" i="2"/>
  <c r="A181" i="2"/>
  <c r="A1024" i="2"/>
  <c r="A1114" i="2"/>
  <c r="A978" i="2"/>
  <c r="A284" i="2"/>
  <c r="A35" i="2"/>
  <c r="A518" i="2"/>
  <c r="A179" i="2"/>
  <c r="A918" i="2"/>
  <c r="A936" i="2"/>
  <c r="A236" i="2"/>
  <c r="A973" i="2"/>
  <c r="A16" i="2"/>
  <c r="A396" i="2"/>
  <c r="A1001" i="2"/>
  <c r="A45" i="2"/>
  <c r="A406" i="2"/>
  <c r="A1037" i="2"/>
  <c r="A653" i="2"/>
  <c r="A880" i="2"/>
  <c r="A814" i="2"/>
  <c r="A674" i="2"/>
  <c r="A896" i="2"/>
  <c r="A439" i="2"/>
  <c r="A1047" i="2"/>
  <c r="A591" i="2"/>
  <c r="A858" i="2"/>
  <c r="A777" i="2"/>
  <c r="A961" i="2"/>
  <c r="A9" i="2"/>
  <c r="A891" i="2"/>
  <c r="A793" i="2"/>
  <c r="A1091" i="2"/>
  <c r="A587" i="2"/>
  <c r="A360" i="2"/>
  <c r="A538" i="2"/>
  <c r="A299" i="2"/>
  <c r="A432" i="2"/>
  <c r="A127" i="2"/>
  <c r="A651" i="2"/>
  <c r="A132" i="2"/>
  <c r="A183" i="2"/>
  <c r="A868" i="2"/>
  <c r="A789" i="2"/>
  <c r="A1013" i="2"/>
  <c r="A826" i="2"/>
  <c r="A686" i="2"/>
  <c r="A954" i="2"/>
  <c r="A47" i="2"/>
  <c r="A411" i="2"/>
  <c r="A780" i="2"/>
  <c r="A163" i="2"/>
  <c r="A947" i="2"/>
  <c r="A805" i="2"/>
  <c r="A2" i="2"/>
  <c r="A754" i="2"/>
  <c r="A732" i="2"/>
  <c r="A912" i="2"/>
  <c r="A198" i="2"/>
  <c r="A1080" i="2"/>
  <c r="A831" i="2"/>
  <c r="A1083" i="2"/>
  <c r="A913" i="2"/>
  <c r="A1008" i="2"/>
  <c r="A601" i="2"/>
  <c r="A1063" i="2"/>
  <c r="A944" i="2"/>
  <c r="A403" i="2"/>
  <c r="A1192" i="2"/>
  <c r="A813" i="2"/>
  <c r="A659" i="2"/>
  <c r="A511" i="2"/>
  <c r="A550" i="2"/>
  <c r="A1123" i="2"/>
  <c r="A545" i="2"/>
  <c r="A966" i="2"/>
  <c r="A101" i="2"/>
  <c r="A719" i="2"/>
  <c r="A1085" i="2"/>
  <c r="A509" i="2"/>
  <c r="A827" i="2"/>
  <c r="A430" i="2"/>
  <c r="A323" i="2"/>
  <c r="A177" i="2"/>
  <c r="A1140" i="2"/>
  <c r="A620" i="2"/>
  <c r="A1141" i="2"/>
  <c r="A621" i="2"/>
  <c r="A402" i="2"/>
  <c r="A141" i="2"/>
  <c r="A816" i="2"/>
  <c r="A546" i="2"/>
  <c r="A925" i="2"/>
  <c r="A885" i="2"/>
  <c r="A71" i="2"/>
  <c r="A530" i="2"/>
  <c r="A859" i="2"/>
  <c r="A378" i="2"/>
  <c r="A1064" i="2"/>
  <c r="A470" i="2"/>
  <c r="A594" i="2"/>
  <c r="A745" i="2"/>
  <c r="A63" i="2"/>
  <c r="A450" i="2"/>
  <c r="A875" i="2"/>
  <c r="A873" i="2"/>
  <c r="A1181" i="2"/>
  <c r="A283" i="2"/>
  <c r="A846" i="2"/>
  <c r="A319" i="2"/>
  <c r="A504" i="2"/>
  <c r="A969" i="2"/>
  <c r="A300" i="2"/>
  <c r="A998" i="2"/>
  <c r="A42" i="2"/>
  <c r="A771" i="2"/>
  <c r="A584" i="2"/>
  <c r="A449" i="2"/>
  <c r="A558" i="2"/>
  <c r="A792" i="2"/>
  <c r="A697" i="2"/>
  <c r="A877" i="2"/>
  <c r="A268" i="2"/>
  <c r="A731" i="2"/>
  <c r="A1002" i="2"/>
  <c r="A921" i="2"/>
  <c r="A705" i="2"/>
  <c r="A1077" i="2"/>
  <c r="A1120" i="2"/>
  <c r="A386" i="2"/>
  <c r="A527" i="2"/>
  <c r="A769" i="2"/>
  <c r="A1069" i="2"/>
  <c r="A468" i="2"/>
  <c r="A1191" i="2"/>
  <c r="A293" i="2"/>
  <c r="A157" i="2"/>
  <c r="A959" i="2"/>
  <c r="A965" i="2"/>
  <c r="A168" i="2"/>
  <c r="A210" i="2"/>
  <c r="A1122" i="2"/>
  <c r="A444" i="2"/>
  <c r="A695" i="2"/>
  <c r="A1135" i="2"/>
  <c r="A1195" i="2"/>
  <c r="A436" i="2"/>
  <c r="A169" i="2"/>
  <c r="A46" i="2"/>
  <c r="A460" i="2"/>
  <c r="A850" i="2"/>
  <c r="A156" i="2"/>
  <c r="A135" i="2"/>
  <c r="A170" i="2"/>
  <c r="A456" i="2"/>
  <c r="A1028" i="2"/>
  <c r="A600" i="2"/>
  <c r="A1163" i="2"/>
  <c r="A605" i="2"/>
  <c r="A876" i="2"/>
  <c r="A455" i="2"/>
  <c r="A165" i="2"/>
  <c r="A388" i="2"/>
  <c r="A760" i="2"/>
  <c r="A704" i="2"/>
  <c r="A656" i="2"/>
  <c r="A485" i="2"/>
  <c r="A344" i="2"/>
  <c r="A1104" i="2"/>
  <c r="A194" i="2"/>
  <c r="A193" i="2"/>
  <c r="A627" i="2"/>
  <c r="A1196" i="2"/>
  <c r="A52" i="2"/>
  <c r="A928" i="2"/>
  <c r="A395" i="2"/>
  <c r="A1194" i="2"/>
  <c r="A64" i="2"/>
  <c r="A1051" i="2"/>
  <c r="A105" i="2"/>
  <c r="A770" i="2"/>
  <c r="A1198" i="2"/>
  <c r="A721" i="2"/>
  <c r="A136" i="2"/>
  <c r="A1175" i="2"/>
  <c r="A472" i="2"/>
  <c r="A830" i="2"/>
  <c r="A1146" i="2"/>
  <c r="A311" i="2"/>
  <c r="A62" i="2"/>
  <c r="A290" i="2"/>
  <c r="A464" i="2"/>
  <c r="A83" i="2"/>
  <c r="A678" i="2"/>
  <c r="A200" i="2"/>
  <c r="A166" i="2"/>
  <c r="A400" i="2"/>
  <c r="A840" i="2"/>
  <c r="A111" i="2"/>
  <c r="A728" i="2"/>
  <c r="A672" i="2"/>
  <c r="A851" i="2"/>
  <c r="A291" i="2"/>
  <c r="A631" i="2"/>
  <c r="A266" i="2"/>
  <c r="A505" i="2"/>
  <c r="A523" i="2"/>
  <c r="A204" i="2"/>
  <c r="A345" i="2"/>
  <c r="A1021" i="2"/>
  <c r="A679" i="2"/>
  <c r="A1109" i="2"/>
  <c r="A357" i="2"/>
  <c r="A51" i="2"/>
  <c r="A953" i="2"/>
  <c r="A1169" i="2"/>
  <c r="A1098" i="2"/>
  <c r="A633" i="2"/>
  <c r="A797" i="2"/>
  <c r="A246" i="2"/>
  <c r="A371" i="2"/>
  <c r="A588" i="2"/>
  <c r="A983" i="2"/>
  <c r="A392" i="2"/>
  <c r="A501" i="2"/>
  <c r="A390" i="2"/>
  <c r="A762" i="2"/>
  <c r="A958" i="2"/>
  <c r="A909" i="2"/>
  <c r="A786" i="2"/>
  <c r="A224" i="2"/>
  <c r="A1129" i="2"/>
  <c r="A580" i="2"/>
  <c r="A1201" i="2"/>
  <c r="A515" i="2"/>
  <c r="A837" i="2"/>
  <c r="A806" i="2"/>
  <c r="A367" i="2"/>
  <c r="A626" i="2"/>
  <c r="A1042" i="2"/>
  <c r="A366" i="2"/>
  <c r="A365" i="2"/>
  <c r="A121" i="2"/>
  <c r="A915" i="2"/>
  <c r="A618" i="2"/>
  <c r="A663" i="2"/>
  <c r="A779" i="2"/>
  <c r="A171" i="2"/>
  <c r="A952" i="2"/>
  <c r="A495" i="2"/>
  <c r="A1073" i="2"/>
  <c r="A815" i="2"/>
  <c r="A801" i="2"/>
  <c r="A214" i="2"/>
  <c r="A235" i="2"/>
  <c r="A491" i="2"/>
  <c r="A553" i="2"/>
  <c r="A80" i="2"/>
  <c r="A353" i="2"/>
  <c r="A234" i="2"/>
  <c r="A1092" i="2"/>
  <c r="A10" i="2"/>
  <c r="A901" i="2"/>
  <c r="A389" i="2"/>
  <c r="A1059" i="2"/>
  <c r="A649" i="2"/>
  <c r="A556" i="2"/>
  <c r="A376" i="2"/>
  <c r="A1143" i="2"/>
  <c r="A676" i="2"/>
  <c r="A489" i="2"/>
  <c r="A738" i="2"/>
  <c r="A957" i="2"/>
  <c r="A108" i="2"/>
  <c r="A613" i="2"/>
  <c r="A1183" i="2"/>
  <c r="A1147" i="2"/>
  <c r="A914" i="2"/>
  <c r="A133" i="2"/>
  <c r="A1010" i="2"/>
  <c r="A496" i="2"/>
  <c r="A24" i="2"/>
  <c r="A522" i="2"/>
  <c r="A433" i="2"/>
  <c r="A1036" i="2"/>
  <c r="A612" i="2"/>
  <c r="A68" i="2"/>
  <c r="A306" i="2"/>
  <c r="A874" i="2"/>
  <c r="A569" i="2"/>
  <c r="A175" i="2"/>
  <c r="A57" i="2"/>
  <c r="A305" i="2"/>
  <c r="A503" i="2"/>
  <c r="A683" i="2"/>
  <c r="A102" i="2"/>
  <c r="A920" i="2"/>
  <c r="A706" i="2"/>
  <c r="A623" i="2"/>
  <c r="A582" i="2"/>
  <c r="A161" i="2"/>
  <c r="A1132" i="2"/>
  <c r="A794" i="2"/>
  <c r="A82" i="2"/>
  <c r="A1075" i="2"/>
  <c r="A29" i="2"/>
  <c r="A113" i="2"/>
  <c r="A606" i="2"/>
  <c r="A1116" i="2"/>
  <c r="A159" i="2"/>
  <c r="A828" i="2"/>
  <c r="A14" i="2"/>
  <c r="A218" i="2"/>
  <c r="A597" i="2"/>
  <c r="A642" i="2"/>
  <c r="A823" i="2"/>
  <c r="A34" i="2"/>
  <c r="A940" i="2"/>
  <c r="A751" i="2"/>
  <c r="A289" i="2"/>
  <c r="A153" i="2"/>
  <c r="A120" i="2"/>
  <c r="A696" i="2"/>
  <c r="A1151" i="2"/>
  <c r="A23" i="2"/>
  <c r="A308" i="2"/>
  <c r="A502" i="2"/>
  <c r="A685" i="2"/>
  <c r="A384" i="2"/>
  <c r="A1197" i="2"/>
  <c r="A804" i="2"/>
  <c r="A425" i="2"/>
  <c r="A824" i="2"/>
  <c r="A748" i="2"/>
  <c r="A887" i="2"/>
  <c r="A320" i="2"/>
  <c r="A867" i="2"/>
  <c r="A483" i="2"/>
  <c r="A1119" i="2"/>
  <c r="A847" i="2"/>
  <c r="A492" i="2"/>
  <c r="A908" i="2"/>
  <c r="A434" i="2"/>
  <c r="A1044" i="2"/>
  <c r="A416" i="2"/>
  <c r="A506" i="2"/>
  <c r="A370" i="2"/>
  <c r="A227" i="2"/>
  <c r="A342" i="2"/>
  <c r="A929" i="2"/>
  <c r="A554" i="2"/>
  <c r="A428" i="2"/>
  <c r="A53" i="2"/>
  <c r="A836" i="2"/>
  <c r="A445" i="2"/>
  <c r="A401" i="2"/>
  <c r="A931" i="2"/>
  <c r="A886" i="2"/>
  <c r="A960" i="2"/>
  <c r="A6" i="2"/>
  <c r="A598" i="2"/>
  <c r="A317" i="2"/>
  <c r="A747" i="2"/>
  <c r="A866" i="2"/>
  <c r="A324" i="2"/>
  <c r="A463" i="2"/>
  <c r="A579" i="2"/>
  <c r="A361" i="2"/>
  <c r="A1180" i="2"/>
  <c r="A872" i="2"/>
  <c r="A992" i="2"/>
  <c r="A374" i="2"/>
  <c r="A58" i="2"/>
  <c r="A203" i="2"/>
  <c r="A73" i="2"/>
  <c r="A478" i="2"/>
  <c r="A382" i="2"/>
  <c r="A372" i="2"/>
  <c r="A1102" i="2"/>
  <c r="A1016" i="2"/>
  <c r="A647" i="2"/>
  <c r="A524" i="2"/>
  <c r="A199" i="2"/>
  <c r="A262" i="2"/>
  <c r="A56" i="2"/>
  <c r="A820" i="2"/>
  <c r="A414" i="2"/>
  <c r="A115" i="2"/>
  <c r="A574" i="2"/>
  <c r="A1107" i="2"/>
  <c r="A164" i="2"/>
  <c r="A228" i="2"/>
  <c r="A906" i="2"/>
  <c r="A479" i="2"/>
  <c r="A217" i="2"/>
  <c r="A1067" i="2"/>
  <c r="A854" i="2"/>
  <c r="A834" i="2"/>
  <c r="A566" i="2"/>
  <c r="A500" i="2"/>
  <c r="A811" i="2"/>
  <c r="A486" i="2"/>
  <c r="A534" i="2"/>
  <c r="A1029" i="2"/>
  <c r="A861" i="2"/>
  <c r="A617" i="2"/>
  <c r="A242" i="2"/>
  <c r="A809" i="2"/>
  <c r="A1186" i="2"/>
  <c r="A565" i="2"/>
  <c r="A226" i="2"/>
  <c r="A537" i="2"/>
  <c r="A932" i="2"/>
  <c r="A241" i="2"/>
  <c r="A328" i="2"/>
  <c r="A287" i="2"/>
  <c r="A773" i="2"/>
  <c r="A611" i="2"/>
  <c r="A264" i="2"/>
  <c r="A1038" i="2"/>
  <c r="A1172" i="2"/>
  <c r="A1023" i="2"/>
  <c r="A350" i="2"/>
  <c r="A415" i="2"/>
  <c r="A375" i="2"/>
  <c r="A1072" i="2"/>
  <c r="A521" i="2"/>
  <c r="A1043" i="2"/>
  <c r="A734" i="2"/>
  <c r="A1154" i="2"/>
  <c r="A438" i="2"/>
  <c r="A764" i="2"/>
  <c r="A573" i="2"/>
  <c r="A1017" i="2"/>
  <c r="A578" i="2"/>
  <c r="A294" i="2"/>
  <c r="A126" i="2"/>
  <c r="A541" i="2"/>
  <c r="A899" i="2"/>
  <c r="A689" i="2"/>
  <c r="A802" i="2"/>
  <c r="A405" i="2"/>
  <c r="A240" i="2"/>
  <c r="A884" i="2"/>
  <c r="A862" i="2"/>
  <c r="A1127" i="2"/>
  <c r="A122" i="2"/>
  <c r="A898" i="2"/>
  <c r="A726" i="2"/>
  <c r="A346" i="2"/>
  <c r="A1030" i="2"/>
  <c r="A513" i="2"/>
  <c r="A1150" i="2"/>
  <c r="A1189" i="2"/>
  <c r="A911" i="2"/>
  <c r="A625" i="2"/>
  <c r="A72" i="2"/>
  <c r="A807" i="2"/>
  <c r="A31" i="2"/>
  <c r="A363" i="2"/>
  <c r="A429" i="2"/>
  <c r="A799" i="2"/>
  <c r="A701" i="2"/>
  <c r="A507" i="2"/>
  <c r="A215" i="2"/>
  <c r="A564" i="2"/>
  <c r="A93" i="2"/>
  <c r="A810" i="2"/>
  <c r="A818" i="2"/>
  <c r="A1121" i="2"/>
  <c r="A355" i="2"/>
  <c r="A38" i="2"/>
  <c r="A70" i="2"/>
  <c r="A482" i="2"/>
  <c r="A404" i="2"/>
  <c r="A86" i="2"/>
  <c r="A114" i="2"/>
  <c r="A987" i="2"/>
  <c r="A174" i="2"/>
  <c r="A318" i="2"/>
  <c r="A1152" i="2"/>
  <c r="A410" i="2"/>
  <c r="A362" i="2"/>
  <c r="A856" i="2"/>
  <c r="A207" i="2"/>
  <c r="A325" i="2"/>
  <c r="A951" i="2"/>
  <c r="A206" i="2"/>
  <c r="A976" i="2"/>
  <c r="A1125" i="2"/>
  <c r="A903" i="2"/>
  <c r="A761" i="2"/>
  <c r="A408" i="2"/>
  <c r="A448" i="2"/>
  <c r="A694" i="2"/>
  <c r="A838" i="2"/>
  <c r="A1022" i="2"/>
  <c r="A75" i="2"/>
  <c r="A943" i="2"/>
  <c r="A1041" i="2"/>
  <c r="A544" i="2"/>
  <c r="A36" i="2"/>
  <c r="A1124" i="2"/>
  <c r="A1159" i="2"/>
  <c r="A664" i="2"/>
  <c r="A94" i="2"/>
  <c r="A252" i="2"/>
  <c r="A229" i="2"/>
  <c r="A1060" i="2"/>
  <c r="A437" i="2"/>
  <c r="A340" i="2"/>
  <c r="A821" i="2"/>
  <c r="A128" i="2"/>
  <c r="A967" i="2"/>
  <c r="A95" i="2"/>
  <c r="A1187" i="2"/>
  <c r="A144" i="2"/>
  <c r="A459" i="2"/>
  <c r="A1068" i="2"/>
  <c r="A772" i="2"/>
  <c r="A331" i="2"/>
  <c r="A267" i="2"/>
  <c r="A1011" i="2"/>
  <c r="A681" i="2"/>
  <c r="A1084" i="2"/>
  <c r="A655" i="2"/>
  <c r="A657" i="2"/>
  <c r="A1093" i="2"/>
  <c r="A1035" i="2"/>
  <c r="A636" i="2"/>
  <c r="A590" i="2"/>
  <c r="A339" i="2"/>
  <c r="A103" i="2"/>
  <c r="A510" i="2"/>
  <c r="A32" i="2"/>
  <c r="A1061" i="2"/>
  <c r="A313" i="2"/>
  <c r="A991" i="2"/>
  <c r="A1071" i="2"/>
  <c r="A273" i="2"/>
  <c r="A358" i="2"/>
  <c r="A602" i="2"/>
  <c r="A1199" i="2"/>
  <c r="A138" i="2"/>
  <c r="A1161" i="2"/>
  <c r="A1126" i="2"/>
  <c r="A278" i="2"/>
  <c r="A1128" i="2"/>
  <c r="A671" i="2"/>
  <c r="A1145" i="2"/>
  <c r="A557" i="2"/>
  <c r="A1046" i="2"/>
  <c r="A540" i="2"/>
  <c r="A963" i="2"/>
  <c r="A667" i="2"/>
  <c r="A274" i="2"/>
  <c r="A514" i="2"/>
  <c r="A188" i="2"/>
  <c r="A707" i="2"/>
  <c r="A833" i="2"/>
  <c r="A220" i="2"/>
  <c r="A321" i="2"/>
  <c r="A946" i="2"/>
  <c r="A480" i="2"/>
  <c r="A583" i="2"/>
</calcChain>
</file>

<file path=xl/sharedStrings.xml><?xml version="1.0" encoding="utf-8"?>
<sst xmlns="http://schemas.openxmlformats.org/spreadsheetml/2006/main" count="6112" uniqueCount="64">
  <si>
    <t>Product Name</t>
  </si>
  <si>
    <t>Quantity</t>
  </si>
  <si>
    <t>Furniture</t>
  </si>
  <si>
    <t>Chair</t>
  </si>
  <si>
    <t>Delhi</t>
  </si>
  <si>
    <t>Table</t>
  </si>
  <si>
    <t>Grocery</t>
  </si>
  <si>
    <t>Oil</t>
  </si>
  <si>
    <t>Electronics</t>
  </si>
  <si>
    <t>Mobile</t>
  </si>
  <si>
    <t>Rice</t>
  </si>
  <si>
    <t>Clothing</t>
  </si>
  <si>
    <t>Jeans</t>
  </si>
  <si>
    <t>Shirt</t>
  </si>
  <si>
    <t>Sofa</t>
  </si>
  <si>
    <t>Jacket</t>
  </si>
  <si>
    <t>Laptop</t>
  </si>
  <si>
    <t>Sugar</t>
  </si>
  <si>
    <t>Date</t>
  </si>
  <si>
    <t>Name</t>
  </si>
  <si>
    <t>Category</t>
  </si>
  <si>
    <t>State</t>
  </si>
  <si>
    <t>Gender</t>
  </si>
  <si>
    <t>Cost</t>
  </si>
  <si>
    <t>Price</t>
  </si>
  <si>
    <t>Purchase Cost</t>
  </si>
  <si>
    <t>Sales</t>
  </si>
  <si>
    <t>Profit</t>
  </si>
  <si>
    <t>Priya</t>
  </si>
  <si>
    <t>Male</t>
  </si>
  <si>
    <t>Sneha</t>
  </si>
  <si>
    <t>Karnataka</t>
  </si>
  <si>
    <t>Female</t>
  </si>
  <si>
    <t>West Bengal</t>
  </si>
  <si>
    <t>Rohit</t>
  </si>
  <si>
    <t>Maharashtra</t>
  </si>
  <si>
    <t>Neha</t>
  </si>
  <si>
    <t>Rahul</t>
  </si>
  <si>
    <t>Vikas</t>
  </si>
  <si>
    <t>Ankit</t>
  </si>
  <si>
    <t>Bihar</t>
  </si>
  <si>
    <t>Kiran</t>
  </si>
  <si>
    <t>TV</t>
  </si>
  <si>
    <t>UP</t>
  </si>
  <si>
    <t>Amit</t>
  </si>
  <si>
    <t>Pooja</t>
  </si>
  <si>
    <t>Sum of Sales</t>
  </si>
  <si>
    <t>Sum of Purchase Cost</t>
  </si>
  <si>
    <t>Sum of Profit</t>
  </si>
  <si>
    <t>Row Labels</t>
  </si>
  <si>
    <t>Grand Total</t>
  </si>
  <si>
    <t>Jan</t>
  </si>
  <si>
    <t>Feb</t>
  </si>
  <si>
    <t>Mar</t>
  </si>
  <si>
    <t>Apr</t>
  </si>
  <si>
    <t>May</t>
  </si>
  <si>
    <t>Jun</t>
  </si>
  <si>
    <t>Jul</t>
  </si>
  <si>
    <t>Aug</t>
  </si>
  <si>
    <t>Sep</t>
  </si>
  <si>
    <t>Oct</t>
  </si>
  <si>
    <t>Nov</t>
  </si>
  <si>
    <t>Dec</t>
  </si>
  <si>
    <t xml:space="preserve">PRODUCTWISE SALE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</si>
</sst>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800]dddd\,\ mmmm\ dd\,\ yyyy"/>
  </numFmts>
  <fonts count="3" x14ac:knownFonts="1">
    <font>
      <sz val="11"/>
      <color theme="1"/>
      <name val="Calibri"/>
      <family val="2"/>
      <scheme val="minor"/>
    </font>
    <font>
      <b/>
      <sz val="11"/>
      <color theme="1"/>
      <name val="Calibri"/>
      <family val="2"/>
      <scheme val="minor"/>
    </font>
    <font>
      <b/>
      <sz val="18"/>
      <color theme="1"/>
      <name val="Algerian"/>
      <family val="5"/>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 fontId="0" fillId="0" borderId="0" xfId="0" applyNumberFormat="1"/>
    <xf numFmtId="1" fontId="0" fillId="0" borderId="0" xfId="0" applyNumberFormat="1" applyAlignment="1">
      <alignment horizontal="center"/>
    </xf>
    <xf numFmtId="0" fontId="1" fillId="2" borderId="1" xfId="0" applyFont="1" applyFill="1" applyBorder="1"/>
    <xf numFmtId="0" fontId="0" fillId="0" borderId="0" xfId="0" pivotButton="1"/>
    <xf numFmtId="0" fontId="0" fillId="0" borderId="0" xfId="0" applyAlignment="1">
      <alignment horizontal="left"/>
    </xf>
    <xf numFmtId="166" fontId="0" fillId="0" borderId="0" xfId="0" applyNumberFormat="1" applyAlignment="1">
      <alignment horizontal="center"/>
    </xf>
    <xf numFmtId="10" fontId="0" fillId="0" borderId="0" xfId="0" applyNumberFormat="1"/>
    <xf numFmtId="0" fontId="2" fillId="0" borderId="0" xfId="0" applyFont="1" applyAlignment="1">
      <alignment horizontal="center" vertical="center"/>
    </xf>
  </cellXfs>
  <cellStyles count="1">
    <cellStyle name="Normal" xfId="0" builtinId="0"/>
  </cellStyles>
  <dxfs count="7">
    <dxf>
      <numFmt numFmtId="166" formatCode="[$-F800]dddd\,\ mmmm\ dd\,\ 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DATA.xlsx]KPI!totalsales</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181930383702038"/>
          <c:y val="0.27041708648978119"/>
          <c:w val="0.59830399384790278"/>
          <c:h val="0.7295823458960834"/>
        </c:manualLayout>
      </c:layout>
      <c:pieChart>
        <c:varyColors val="1"/>
        <c:ser>
          <c:idx val="0"/>
          <c:order val="0"/>
          <c:tx>
            <c:strRef>
              <c:f>KPI!$B$13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095-441A-B35B-E4B5E5ABE265}"/>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KPI!$A$14:$A$18</c:f>
              <c:strCache>
                <c:ptCount val="4"/>
                <c:pt idx="0">
                  <c:v>Clothing</c:v>
                </c:pt>
                <c:pt idx="1">
                  <c:v>Electronics</c:v>
                </c:pt>
                <c:pt idx="2">
                  <c:v>Furniture</c:v>
                </c:pt>
                <c:pt idx="3">
                  <c:v>Grocery</c:v>
                </c:pt>
              </c:strCache>
            </c:strRef>
          </c:cat>
          <c:val>
            <c:numRef>
              <c:f>KPI!$B$14:$B$18</c:f>
              <c:numCache>
                <c:formatCode>0</c:formatCode>
                <c:ptCount val="4"/>
                <c:pt idx="0">
                  <c:v>5073611.79</c:v>
                </c:pt>
                <c:pt idx="1">
                  <c:v>4895102.8000000007</c:v>
                </c:pt>
                <c:pt idx="2">
                  <c:v>5637427.5899999961</c:v>
                </c:pt>
                <c:pt idx="3">
                  <c:v>5714751.5499999952</c:v>
                </c:pt>
              </c:numCache>
            </c:numRef>
          </c:val>
          <c:extLst>
            <c:ext xmlns:c16="http://schemas.microsoft.com/office/drawing/2014/chart" uri="{C3380CC4-5D6E-409C-BE32-E72D297353CC}">
              <c16:uniqueId val="{00000000-4095-441A-B35B-E4B5E5ABE26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7137467191601046E-2"/>
              <c:y val="-0.1200531239901318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KPI!$F$13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5FB-407D-933C-34FD2601F55C}"/>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1"/>
              <c:layout>
                <c:manualLayout>
                  <c:x val="-9.7137467191601046E-2"/>
                  <c:y val="-0.1200531239901318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5FB-407D-933C-34FD2601F55C}"/>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KPI!$E$14:$E$18</c:f>
              <c:strCache>
                <c:ptCount val="4"/>
                <c:pt idx="0">
                  <c:v>Clothing</c:v>
                </c:pt>
                <c:pt idx="1">
                  <c:v>Electronics</c:v>
                </c:pt>
                <c:pt idx="2">
                  <c:v>Furniture</c:v>
                </c:pt>
                <c:pt idx="3">
                  <c:v>Grocery</c:v>
                </c:pt>
              </c:strCache>
            </c:strRef>
          </c:cat>
          <c:val>
            <c:numRef>
              <c:f>KPI!$F$14:$F$18</c:f>
              <c:numCache>
                <c:formatCode>0</c:formatCode>
                <c:ptCount val="4"/>
                <c:pt idx="0">
                  <c:v>3924766.1999999993</c:v>
                </c:pt>
                <c:pt idx="1">
                  <c:v>3706582.0200000014</c:v>
                </c:pt>
                <c:pt idx="2">
                  <c:v>4334348.1999999974</c:v>
                </c:pt>
                <c:pt idx="3">
                  <c:v>4395734.84</c:v>
                </c:pt>
              </c:numCache>
            </c:numRef>
          </c:val>
          <c:extLst>
            <c:ext xmlns:c16="http://schemas.microsoft.com/office/drawing/2014/chart" uri="{C3380CC4-5D6E-409C-BE32-E72D297353CC}">
              <c16:uniqueId val="{00000000-65FB-407D-933C-34FD2601F55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DATA.xlsx]KPI!totalprofit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KPI!$K$13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KPI!$J$14:$J$18</c:f>
              <c:strCache>
                <c:ptCount val="4"/>
                <c:pt idx="0">
                  <c:v>Clothing</c:v>
                </c:pt>
                <c:pt idx="1">
                  <c:v>Electronics</c:v>
                </c:pt>
                <c:pt idx="2">
                  <c:v>Furniture</c:v>
                </c:pt>
                <c:pt idx="3">
                  <c:v>Grocery</c:v>
                </c:pt>
              </c:strCache>
            </c:strRef>
          </c:cat>
          <c:val>
            <c:numRef>
              <c:f>KPI!$K$14:$K$18</c:f>
              <c:numCache>
                <c:formatCode>0</c:formatCode>
                <c:ptCount val="4"/>
                <c:pt idx="0">
                  <c:v>1148845.5899999999</c:v>
                </c:pt>
                <c:pt idx="1">
                  <c:v>1188520.7799999998</c:v>
                </c:pt>
                <c:pt idx="2">
                  <c:v>1303079.3900000004</c:v>
                </c:pt>
                <c:pt idx="3">
                  <c:v>1319016.7100000007</c:v>
                </c:pt>
              </c:numCache>
            </c:numRef>
          </c:val>
          <c:extLst>
            <c:ext xmlns:c16="http://schemas.microsoft.com/office/drawing/2014/chart" uri="{C3380CC4-5D6E-409C-BE32-E72D297353CC}">
              <c16:uniqueId val="{00000000-A566-40B9-991F-5D847A78D1F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DATA.xlsx]KPI!monthwise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2840653954401"/>
          <c:y val="0.10101010101010101"/>
          <c:w val="0.64432406792524433"/>
          <c:h val="0.75193619263501155"/>
        </c:manualLayout>
      </c:layout>
      <c:barChart>
        <c:barDir val="col"/>
        <c:grouping val="clustered"/>
        <c:varyColors val="0"/>
        <c:ser>
          <c:idx val="0"/>
          <c:order val="0"/>
          <c:tx>
            <c:strRef>
              <c:f>KPI!$Q$13</c:f>
              <c:strCache>
                <c:ptCount val="1"/>
                <c:pt idx="0">
                  <c:v>Sum of Profit</c:v>
                </c:pt>
              </c:strCache>
            </c:strRef>
          </c:tx>
          <c:spPr>
            <a:solidFill>
              <a:schemeClr val="accent1"/>
            </a:solidFill>
            <a:ln>
              <a:noFill/>
            </a:ln>
            <a:effectLst/>
          </c:spPr>
          <c:invertIfNegative val="0"/>
          <c:cat>
            <c:strRef>
              <c:f>KPI!$P$14:$P$26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KPI!$Q$14:$Q$26</c:f>
              <c:numCache>
                <c:formatCode>0.00%</c:formatCode>
                <c:ptCount val="12"/>
                <c:pt idx="0">
                  <c:v>7.2900819834210748E-2</c:v>
                </c:pt>
                <c:pt idx="1">
                  <c:v>7.9495090926658421E-2</c:v>
                </c:pt>
                <c:pt idx="2">
                  <c:v>8.0018867447947423E-2</c:v>
                </c:pt>
                <c:pt idx="3">
                  <c:v>6.6622907623293287E-2</c:v>
                </c:pt>
                <c:pt idx="4">
                  <c:v>8.7445924356395005E-2</c:v>
                </c:pt>
                <c:pt idx="5">
                  <c:v>8.1946985678066853E-2</c:v>
                </c:pt>
                <c:pt idx="6">
                  <c:v>8.0155013250861426E-2</c:v>
                </c:pt>
                <c:pt idx="7">
                  <c:v>9.4222598280897948E-2</c:v>
                </c:pt>
                <c:pt idx="8">
                  <c:v>8.4566765559171558E-2</c:v>
                </c:pt>
                <c:pt idx="9">
                  <c:v>9.2271671127294563E-2</c:v>
                </c:pt>
                <c:pt idx="10">
                  <c:v>9.6633113547888172E-2</c:v>
                </c:pt>
                <c:pt idx="11">
                  <c:v>8.3720242367314457E-2</c:v>
                </c:pt>
              </c:numCache>
            </c:numRef>
          </c:val>
          <c:extLst>
            <c:ext xmlns:c16="http://schemas.microsoft.com/office/drawing/2014/chart" uri="{C3380CC4-5D6E-409C-BE32-E72D297353CC}">
              <c16:uniqueId val="{00000000-80DC-4555-BD56-B60AFEED89FE}"/>
            </c:ext>
          </c:extLst>
        </c:ser>
        <c:dLbls>
          <c:showLegendKey val="0"/>
          <c:showVal val="0"/>
          <c:showCatName val="0"/>
          <c:showSerName val="0"/>
          <c:showPercent val="0"/>
          <c:showBubbleSize val="0"/>
        </c:dLbls>
        <c:gapWidth val="219"/>
        <c:overlap val="-27"/>
        <c:axId val="214395487"/>
        <c:axId val="214395967"/>
      </c:barChart>
      <c:lineChart>
        <c:grouping val="standard"/>
        <c:varyColors val="0"/>
        <c:ser>
          <c:idx val="1"/>
          <c:order val="1"/>
          <c:tx>
            <c:strRef>
              <c:f>KPI!$R$13</c:f>
              <c:strCache>
                <c:ptCount val="1"/>
                <c:pt idx="0">
                  <c:v>Sum of Sales</c:v>
                </c:pt>
              </c:strCache>
            </c:strRef>
          </c:tx>
          <c:spPr>
            <a:ln w="28575" cap="rnd">
              <a:solidFill>
                <a:srgbClr val="FF0000"/>
              </a:solidFill>
              <a:bevel/>
            </a:ln>
            <a:effectLst/>
          </c:spPr>
          <c:marker>
            <c:symbol val="none"/>
          </c:marker>
          <c:cat>
            <c:strRef>
              <c:f>KPI!$P$14:$P$26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KPI!$R$14:$R$26</c:f>
              <c:numCache>
                <c:formatCode>0</c:formatCode>
                <c:ptCount val="12"/>
                <c:pt idx="0">
                  <c:v>1561715.600000001</c:v>
                </c:pt>
                <c:pt idx="1">
                  <c:v>1771825.0899999989</c:v>
                </c:pt>
                <c:pt idx="2">
                  <c:v>1698556.58</c:v>
                </c:pt>
                <c:pt idx="3">
                  <c:v>1440177.88</c:v>
                </c:pt>
                <c:pt idx="4">
                  <c:v>1854328.2300000004</c:v>
                </c:pt>
                <c:pt idx="5">
                  <c:v>1726697.3899999994</c:v>
                </c:pt>
                <c:pt idx="6">
                  <c:v>1591695.0200000003</c:v>
                </c:pt>
                <c:pt idx="7">
                  <c:v>1971648.5599999998</c:v>
                </c:pt>
                <c:pt idx="8">
                  <c:v>1687356.61</c:v>
                </c:pt>
                <c:pt idx="9">
                  <c:v>2035463.5100000002</c:v>
                </c:pt>
                <c:pt idx="10">
                  <c:v>2145263.6500000004</c:v>
                </c:pt>
                <c:pt idx="11">
                  <c:v>1836165.61</c:v>
                </c:pt>
              </c:numCache>
            </c:numRef>
          </c:val>
          <c:smooth val="0"/>
          <c:extLst>
            <c:ext xmlns:c16="http://schemas.microsoft.com/office/drawing/2014/chart" uri="{C3380CC4-5D6E-409C-BE32-E72D297353CC}">
              <c16:uniqueId val="{00000001-80DC-4555-BD56-B60AFEED89FE}"/>
            </c:ext>
          </c:extLst>
        </c:ser>
        <c:dLbls>
          <c:showLegendKey val="0"/>
          <c:showVal val="0"/>
          <c:showCatName val="0"/>
          <c:showSerName val="0"/>
          <c:showPercent val="0"/>
          <c:showBubbleSize val="0"/>
        </c:dLbls>
        <c:marker val="1"/>
        <c:smooth val="0"/>
        <c:axId val="807453775"/>
        <c:axId val="810130783"/>
      </c:lineChart>
      <c:catAx>
        <c:axId val="21439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5967"/>
        <c:crosses val="autoZero"/>
        <c:auto val="1"/>
        <c:lblAlgn val="ctr"/>
        <c:lblOffset val="100"/>
        <c:noMultiLvlLbl val="0"/>
      </c:catAx>
      <c:valAx>
        <c:axId val="214395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5487"/>
        <c:crosses val="autoZero"/>
        <c:crossBetween val="between"/>
      </c:valAx>
      <c:valAx>
        <c:axId val="8101307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53775"/>
        <c:crosses val="max"/>
        <c:crossBetween val="between"/>
      </c:valAx>
      <c:catAx>
        <c:axId val="807453775"/>
        <c:scaling>
          <c:orientation val="minMax"/>
        </c:scaling>
        <c:delete val="1"/>
        <c:axPos val="b"/>
        <c:numFmt formatCode="General" sourceLinked="1"/>
        <c:majorTickMark val="out"/>
        <c:minorTickMark val="none"/>
        <c:tickLblPos val="nextTo"/>
        <c:crossAx val="81013078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KPI!$AC$29</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KPI!$AB$30:$AB$41</c:f>
              <c:strCache>
                <c:ptCount val="12"/>
                <c:pt idx="0">
                  <c:v>Chair</c:v>
                </c:pt>
                <c:pt idx="1">
                  <c:v>Jacket</c:v>
                </c:pt>
                <c:pt idx="2">
                  <c:v>Jeans</c:v>
                </c:pt>
                <c:pt idx="3">
                  <c:v>Laptop</c:v>
                </c:pt>
                <c:pt idx="4">
                  <c:v>Mobile</c:v>
                </c:pt>
                <c:pt idx="5">
                  <c:v>Oil</c:v>
                </c:pt>
                <c:pt idx="6">
                  <c:v>Rice</c:v>
                </c:pt>
                <c:pt idx="7">
                  <c:v>Shirt</c:v>
                </c:pt>
                <c:pt idx="8">
                  <c:v>Sofa</c:v>
                </c:pt>
                <c:pt idx="9">
                  <c:v>Sugar</c:v>
                </c:pt>
                <c:pt idx="10">
                  <c:v>Table</c:v>
                </c:pt>
                <c:pt idx="11">
                  <c:v>TV</c:v>
                </c:pt>
              </c:strCache>
            </c:strRef>
          </c:cat>
          <c:val>
            <c:numRef>
              <c:f>KPI!$AC$30:$AC$41</c:f>
              <c:numCache>
                <c:formatCode>0.00%</c:formatCode>
                <c:ptCount val="12"/>
                <c:pt idx="0">
                  <c:v>9.8203507526492081E-2</c:v>
                </c:pt>
                <c:pt idx="1">
                  <c:v>6.717839927519402E-2</c:v>
                </c:pt>
                <c:pt idx="2">
                  <c:v>9.445490773115979E-2</c:v>
                </c:pt>
                <c:pt idx="3">
                  <c:v>9.2339384110713935E-2</c:v>
                </c:pt>
                <c:pt idx="4">
                  <c:v>6.5834158837782306E-2</c:v>
                </c:pt>
                <c:pt idx="5">
                  <c:v>8.3150331814084669E-2</c:v>
                </c:pt>
                <c:pt idx="6">
                  <c:v>7.8509605094360169E-2</c:v>
                </c:pt>
                <c:pt idx="7">
                  <c:v>7.0013892049877721E-2</c:v>
                </c:pt>
                <c:pt idx="8">
                  <c:v>9.1917223440547619E-2</c:v>
                </c:pt>
                <c:pt idx="9">
                  <c:v>0.1042996742346555</c:v>
                </c:pt>
                <c:pt idx="10">
                  <c:v>7.2625362562729529E-2</c:v>
                </c:pt>
                <c:pt idx="11">
                  <c:v>8.1473553322402692E-2</c:v>
                </c:pt>
              </c:numCache>
            </c:numRef>
          </c:val>
          <c:extLst>
            <c:ext xmlns:c16="http://schemas.microsoft.com/office/drawing/2014/chart" uri="{C3380CC4-5D6E-409C-BE32-E72D297353CC}">
              <c16:uniqueId val="{00000000-C1CE-4201-AFFE-E42EB701858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DATA.xlsx]KPI!totalsales</c:name>
    <c:fmtId val="13"/>
  </c:pivotSource>
  <c:chart>
    <c:autoTitleDeleted val="1"/>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1">
              <a:lumMod val="60000"/>
            </a:schemeClr>
          </a:solidFill>
          <a:ln w="19050">
            <a:solidFill>
              <a:schemeClr val="lt1"/>
            </a:solidFill>
          </a:ln>
          <a:effectLst/>
        </c:spPr>
      </c:pivotFmt>
    </c:pivotFmts>
    <c:plotArea>
      <c:layout>
        <c:manualLayout>
          <c:layoutTarget val="inner"/>
          <c:xMode val="edge"/>
          <c:yMode val="edge"/>
          <c:x val="0.47109736282964632"/>
          <c:y val="0.27041708648978119"/>
          <c:w val="0.59830399384790278"/>
          <c:h val="0.7295823458960834"/>
        </c:manualLayout>
      </c:layout>
      <c:pieChart>
        <c:varyColors val="1"/>
        <c:ser>
          <c:idx val="0"/>
          <c:order val="0"/>
          <c:tx>
            <c:strRef>
              <c:f>KPI!$B$13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16-41BF-951A-14EEB54C30C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B16-41BF-951A-14EEB54C30C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B16-41BF-951A-14EEB54C30C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B16-41BF-951A-14EEB54C30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KPI!$A$14:$A$18</c:f>
              <c:strCache>
                <c:ptCount val="4"/>
                <c:pt idx="0">
                  <c:v>Clothing</c:v>
                </c:pt>
                <c:pt idx="1">
                  <c:v>Electronics</c:v>
                </c:pt>
                <c:pt idx="2">
                  <c:v>Furniture</c:v>
                </c:pt>
                <c:pt idx="3">
                  <c:v>Grocery</c:v>
                </c:pt>
              </c:strCache>
            </c:strRef>
          </c:cat>
          <c:val>
            <c:numRef>
              <c:f>KPI!$B$14:$B$18</c:f>
              <c:numCache>
                <c:formatCode>0</c:formatCode>
                <c:ptCount val="4"/>
                <c:pt idx="0">
                  <c:v>5073611.79</c:v>
                </c:pt>
                <c:pt idx="1">
                  <c:v>4895102.8000000007</c:v>
                </c:pt>
                <c:pt idx="2">
                  <c:v>5637427.5899999961</c:v>
                </c:pt>
                <c:pt idx="3">
                  <c:v>5714751.5499999952</c:v>
                </c:pt>
              </c:numCache>
            </c:numRef>
          </c:val>
          <c:extLst>
            <c:ext xmlns:c16="http://schemas.microsoft.com/office/drawing/2014/chart" uri="{C3380CC4-5D6E-409C-BE32-E72D297353CC}">
              <c16:uniqueId val="{00000008-3B16-41BF-951A-14EEB54C30CB}"/>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DATA.xlsx]KPI!totalpurchase</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7137467191601046E-2"/>
              <c:y val="-0.1200531239901318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9.7137467191601046E-2"/>
              <c:y val="-0.1200531239901318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9.7137467191601046E-2"/>
              <c:y val="-0.1200531239901318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KPI!$F$13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D-4A7E-85DD-9142B0D163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D-4A7E-85DD-9142B0D163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1D-4A7E-85DD-9142B0D163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1D-4A7E-85DD-9142B0D16357}"/>
              </c:ext>
            </c:extLst>
          </c:dPt>
          <c:dLbls>
            <c:dLbl>
              <c:idx val="1"/>
              <c:layout>
                <c:manualLayout>
                  <c:x val="-9.7137467191601046E-2"/>
                  <c:y val="-0.1200531239901318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41D-4A7E-85DD-9142B0D16357}"/>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KPI!$E$14:$E$18</c:f>
              <c:strCache>
                <c:ptCount val="4"/>
                <c:pt idx="0">
                  <c:v>Clothing</c:v>
                </c:pt>
                <c:pt idx="1">
                  <c:v>Electronics</c:v>
                </c:pt>
                <c:pt idx="2">
                  <c:v>Furniture</c:v>
                </c:pt>
                <c:pt idx="3">
                  <c:v>Grocery</c:v>
                </c:pt>
              </c:strCache>
            </c:strRef>
          </c:cat>
          <c:val>
            <c:numRef>
              <c:f>KPI!$F$14:$F$18</c:f>
              <c:numCache>
                <c:formatCode>0</c:formatCode>
                <c:ptCount val="4"/>
                <c:pt idx="0">
                  <c:v>3924766.1999999993</c:v>
                </c:pt>
                <c:pt idx="1">
                  <c:v>3706582.0200000014</c:v>
                </c:pt>
                <c:pt idx="2">
                  <c:v>4334348.1999999974</c:v>
                </c:pt>
                <c:pt idx="3">
                  <c:v>4395734.84</c:v>
                </c:pt>
              </c:numCache>
            </c:numRef>
          </c:val>
          <c:extLst>
            <c:ext xmlns:c16="http://schemas.microsoft.com/office/drawing/2014/chart" uri="{C3380CC4-5D6E-409C-BE32-E72D297353CC}">
              <c16:uniqueId val="{00000008-241D-4A7E-85DD-9142B0D1635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DATA.xlsx]KPI!totalprofit</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24-4385-A598-5FE4C1CF26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24-4385-A598-5FE4C1CF26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24-4385-A598-5FE4C1CF26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24-4385-A598-5FE4C1CF26C0}"/>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KPI!$J$14:$J$18</c:f>
              <c:strCache>
                <c:ptCount val="4"/>
                <c:pt idx="0">
                  <c:v>Clothing</c:v>
                </c:pt>
                <c:pt idx="1">
                  <c:v>Electronics</c:v>
                </c:pt>
                <c:pt idx="2">
                  <c:v>Furniture</c:v>
                </c:pt>
                <c:pt idx="3">
                  <c:v>Grocery</c:v>
                </c:pt>
              </c:strCache>
            </c:strRef>
          </c:cat>
          <c:val>
            <c:numRef>
              <c:f>KPI!$K$14:$K$18</c:f>
              <c:numCache>
                <c:formatCode>0</c:formatCode>
                <c:ptCount val="4"/>
                <c:pt idx="0">
                  <c:v>1148845.5899999999</c:v>
                </c:pt>
                <c:pt idx="1">
                  <c:v>1188520.7799999998</c:v>
                </c:pt>
                <c:pt idx="2">
                  <c:v>1303079.3900000004</c:v>
                </c:pt>
                <c:pt idx="3">
                  <c:v>1319016.7100000007</c:v>
                </c:pt>
              </c:numCache>
            </c:numRef>
          </c:val>
          <c:extLst>
            <c:ext xmlns:c16="http://schemas.microsoft.com/office/drawing/2014/chart" uri="{C3380CC4-5D6E-409C-BE32-E72D297353CC}">
              <c16:uniqueId val="{00000008-DF24-4385-A598-5FE4C1CF26C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 MART FINAL DATA.xlsx]KPI!monthwise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2840653954401"/>
          <c:y val="0.10101010101010101"/>
          <c:w val="0.64432406792524433"/>
          <c:h val="0.75193619263501155"/>
        </c:manualLayout>
      </c:layout>
      <c:barChart>
        <c:barDir val="col"/>
        <c:grouping val="clustered"/>
        <c:varyColors val="0"/>
        <c:ser>
          <c:idx val="0"/>
          <c:order val="0"/>
          <c:tx>
            <c:strRef>
              <c:f>KPI!$Q$13</c:f>
              <c:strCache>
                <c:ptCount val="1"/>
                <c:pt idx="0">
                  <c:v>Sum of Profit</c:v>
                </c:pt>
              </c:strCache>
            </c:strRef>
          </c:tx>
          <c:spPr>
            <a:solidFill>
              <a:schemeClr val="accent1"/>
            </a:solidFill>
            <a:ln>
              <a:noFill/>
            </a:ln>
            <a:effectLst/>
          </c:spPr>
          <c:invertIfNegative val="0"/>
          <c:cat>
            <c:strRef>
              <c:f>KPI!$P$14:$P$26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KPI!$Q$14:$Q$26</c:f>
              <c:numCache>
                <c:formatCode>0.00%</c:formatCode>
                <c:ptCount val="12"/>
                <c:pt idx="0">
                  <c:v>7.2900819834210748E-2</c:v>
                </c:pt>
                <c:pt idx="1">
                  <c:v>7.9495090926658421E-2</c:v>
                </c:pt>
                <c:pt idx="2">
                  <c:v>8.0018867447947423E-2</c:v>
                </c:pt>
                <c:pt idx="3">
                  <c:v>6.6622907623293287E-2</c:v>
                </c:pt>
                <c:pt idx="4">
                  <c:v>8.7445924356395005E-2</c:v>
                </c:pt>
                <c:pt idx="5">
                  <c:v>8.1946985678066853E-2</c:v>
                </c:pt>
                <c:pt idx="6">
                  <c:v>8.0155013250861426E-2</c:v>
                </c:pt>
                <c:pt idx="7">
                  <c:v>9.4222598280897948E-2</c:v>
                </c:pt>
                <c:pt idx="8">
                  <c:v>8.4566765559171558E-2</c:v>
                </c:pt>
                <c:pt idx="9">
                  <c:v>9.2271671127294563E-2</c:v>
                </c:pt>
                <c:pt idx="10">
                  <c:v>9.6633113547888172E-2</c:v>
                </c:pt>
                <c:pt idx="11">
                  <c:v>8.3720242367314457E-2</c:v>
                </c:pt>
              </c:numCache>
            </c:numRef>
          </c:val>
          <c:extLst>
            <c:ext xmlns:c16="http://schemas.microsoft.com/office/drawing/2014/chart" uri="{C3380CC4-5D6E-409C-BE32-E72D297353CC}">
              <c16:uniqueId val="{00000000-2969-48E1-B91A-9DB7988C572F}"/>
            </c:ext>
          </c:extLst>
        </c:ser>
        <c:dLbls>
          <c:showLegendKey val="0"/>
          <c:showVal val="0"/>
          <c:showCatName val="0"/>
          <c:showSerName val="0"/>
          <c:showPercent val="0"/>
          <c:showBubbleSize val="0"/>
        </c:dLbls>
        <c:gapWidth val="219"/>
        <c:overlap val="-27"/>
        <c:axId val="214395487"/>
        <c:axId val="214395967"/>
      </c:barChart>
      <c:lineChart>
        <c:grouping val="standard"/>
        <c:varyColors val="0"/>
        <c:ser>
          <c:idx val="1"/>
          <c:order val="1"/>
          <c:tx>
            <c:strRef>
              <c:f>KPI!$R$13</c:f>
              <c:strCache>
                <c:ptCount val="1"/>
                <c:pt idx="0">
                  <c:v>Sum of Sales</c:v>
                </c:pt>
              </c:strCache>
            </c:strRef>
          </c:tx>
          <c:spPr>
            <a:ln w="28575" cap="rnd">
              <a:solidFill>
                <a:srgbClr val="FF0000"/>
              </a:solidFill>
              <a:bevel/>
            </a:ln>
            <a:effectLst/>
          </c:spPr>
          <c:marker>
            <c:symbol val="none"/>
          </c:marker>
          <c:cat>
            <c:strRef>
              <c:f>KPI!$P$14:$P$26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KPI!$R$14:$R$26</c:f>
              <c:numCache>
                <c:formatCode>0</c:formatCode>
                <c:ptCount val="12"/>
                <c:pt idx="0">
                  <c:v>1561715.600000001</c:v>
                </c:pt>
                <c:pt idx="1">
                  <c:v>1771825.0899999989</c:v>
                </c:pt>
                <c:pt idx="2">
                  <c:v>1698556.58</c:v>
                </c:pt>
                <c:pt idx="3">
                  <c:v>1440177.88</c:v>
                </c:pt>
                <c:pt idx="4">
                  <c:v>1854328.2300000004</c:v>
                </c:pt>
                <c:pt idx="5">
                  <c:v>1726697.3899999994</c:v>
                </c:pt>
                <c:pt idx="6">
                  <c:v>1591695.0200000003</c:v>
                </c:pt>
                <c:pt idx="7">
                  <c:v>1971648.5599999998</c:v>
                </c:pt>
                <c:pt idx="8">
                  <c:v>1687356.61</c:v>
                </c:pt>
                <c:pt idx="9">
                  <c:v>2035463.5100000002</c:v>
                </c:pt>
                <c:pt idx="10">
                  <c:v>2145263.6500000004</c:v>
                </c:pt>
                <c:pt idx="11">
                  <c:v>1836165.61</c:v>
                </c:pt>
              </c:numCache>
            </c:numRef>
          </c:val>
          <c:smooth val="0"/>
          <c:extLst>
            <c:ext xmlns:c16="http://schemas.microsoft.com/office/drawing/2014/chart" uri="{C3380CC4-5D6E-409C-BE32-E72D297353CC}">
              <c16:uniqueId val="{00000001-2969-48E1-B91A-9DB7988C572F}"/>
            </c:ext>
          </c:extLst>
        </c:ser>
        <c:dLbls>
          <c:showLegendKey val="0"/>
          <c:showVal val="0"/>
          <c:showCatName val="0"/>
          <c:showSerName val="0"/>
          <c:showPercent val="0"/>
          <c:showBubbleSize val="0"/>
        </c:dLbls>
        <c:marker val="1"/>
        <c:smooth val="0"/>
        <c:axId val="807453775"/>
        <c:axId val="810130783"/>
      </c:lineChart>
      <c:catAx>
        <c:axId val="21439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5967"/>
        <c:crosses val="autoZero"/>
        <c:auto val="1"/>
        <c:lblAlgn val="ctr"/>
        <c:lblOffset val="100"/>
        <c:noMultiLvlLbl val="0"/>
      </c:catAx>
      <c:valAx>
        <c:axId val="214395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5487"/>
        <c:crosses val="autoZero"/>
        <c:crossBetween val="between"/>
      </c:valAx>
      <c:valAx>
        <c:axId val="8101307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53775"/>
        <c:crosses val="max"/>
        <c:crossBetween val="between"/>
      </c:valAx>
      <c:catAx>
        <c:axId val="807453775"/>
        <c:scaling>
          <c:orientation val="minMax"/>
        </c:scaling>
        <c:delete val="1"/>
        <c:axPos val="b"/>
        <c:numFmt formatCode="General" sourceLinked="1"/>
        <c:majorTickMark val="out"/>
        <c:minorTickMark val="none"/>
        <c:tickLblPos val="nextTo"/>
        <c:crossAx val="8101307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KPI!$AC$29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B7-49B9-A289-FF779819B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B7-49B9-A289-FF779819BE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B7-49B9-A289-FF779819BE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B7-49B9-A289-FF779819BE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B7-49B9-A289-FF779819BE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B7-49B9-A289-FF779819BED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8B7-49B9-A289-FF779819BED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8B7-49B9-A289-FF779819BED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8B7-49B9-A289-FF779819BED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8B7-49B9-A289-FF779819BED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8B7-49B9-A289-FF779819BED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8B7-49B9-A289-FF779819BED0}"/>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KPI!$AB$30:$AB$41</c:f>
              <c:strCache>
                <c:ptCount val="12"/>
                <c:pt idx="0">
                  <c:v>Chair</c:v>
                </c:pt>
                <c:pt idx="1">
                  <c:v>Jacket</c:v>
                </c:pt>
                <c:pt idx="2">
                  <c:v>Jeans</c:v>
                </c:pt>
                <c:pt idx="3">
                  <c:v>Laptop</c:v>
                </c:pt>
                <c:pt idx="4">
                  <c:v>Mobile</c:v>
                </c:pt>
                <c:pt idx="5">
                  <c:v>Oil</c:v>
                </c:pt>
                <c:pt idx="6">
                  <c:v>Rice</c:v>
                </c:pt>
                <c:pt idx="7">
                  <c:v>Shirt</c:v>
                </c:pt>
                <c:pt idx="8">
                  <c:v>Sofa</c:v>
                </c:pt>
                <c:pt idx="9">
                  <c:v>Sugar</c:v>
                </c:pt>
                <c:pt idx="10">
                  <c:v>Table</c:v>
                </c:pt>
                <c:pt idx="11">
                  <c:v>TV</c:v>
                </c:pt>
              </c:strCache>
            </c:strRef>
          </c:cat>
          <c:val>
            <c:numRef>
              <c:f>KPI!$AC$30:$AC$41</c:f>
              <c:numCache>
                <c:formatCode>0.00%</c:formatCode>
                <c:ptCount val="12"/>
                <c:pt idx="0">
                  <c:v>9.8203507526492081E-2</c:v>
                </c:pt>
                <c:pt idx="1">
                  <c:v>6.717839927519402E-2</c:v>
                </c:pt>
                <c:pt idx="2">
                  <c:v>9.445490773115979E-2</c:v>
                </c:pt>
                <c:pt idx="3">
                  <c:v>9.2339384110713935E-2</c:v>
                </c:pt>
                <c:pt idx="4">
                  <c:v>6.5834158837782306E-2</c:v>
                </c:pt>
                <c:pt idx="5">
                  <c:v>8.3150331814084669E-2</c:v>
                </c:pt>
                <c:pt idx="6">
                  <c:v>7.8509605094360169E-2</c:v>
                </c:pt>
                <c:pt idx="7">
                  <c:v>7.0013892049877721E-2</c:v>
                </c:pt>
                <c:pt idx="8">
                  <c:v>9.1917223440547619E-2</c:v>
                </c:pt>
                <c:pt idx="9">
                  <c:v>0.1042996742346555</c:v>
                </c:pt>
                <c:pt idx="10">
                  <c:v>7.2625362562729529E-2</c:v>
                </c:pt>
                <c:pt idx="11">
                  <c:v>8.1473553322402692E-2</c:v>
                </c:pt>
              </c:numCache>
            </c:numRef>
          </c:val>
          <c:extLst>
            <c:ext xmlns:c16="http://schemas.microsoft.com/office/drawing/2014/chart" uri="{C3380CC4-5D6E-409C-BE32-E72D297353CC}">
              <c16:uniqueId val="{00000018-58B7-49B9-A289-FF779819BED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1C6A0CA-3333-4A2A-BD9D-2099B18E1DF5}">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_xlchart.v5.15</cx:f>
        <cx:nf>_xlchart.v5.14</cx:nf>
      </cx:numDim>
    </cx:data>
  </cx:chartData>
  <cx:chart>
    <cx:plotArea>
      <cx:plotAreaRegion>
        <cx:series layoutId="regionMap" uniqueId="{21CDB597-139F-4F09-81E6-12251A919A18}">
          <cx:tx>
            <cx:txData>
              <cx:f>_xlchart.v5.14</cx:f>
              <cx:v>Sum of Sales</cx:v>
            </cx:txData>
          </cx:tx>
          <cx:dataLabels>
            <cx:visibility seriesName="0" categoryName="0" value="1"/>
          </cx:dataLabels>
          <cx:dataId val="0"/>
          <cx:layoutPr>
            <cx:geography cultureLanguage="en-US" cultureRegion="IN" attribution="Powered by Bing">
              <cx:geoCache provider="{E9337A44-BEBE-4D9F-B70C-5C5E7DAFC167}">
                <cx:binary>1HrZktw4ku2vlOn5UkUABEC0dY3ZgGQsGZH7olS90FKpFEGABLiCIL9+XLX0rdJounvM+prdznxI
KUAQi7sfP348/voa/vLavL0MP4S2seNfXsNP79Q0dX/58cfxVb21L+P7tn4d3Oi+TO9fXfuj+/Kl
fn378fPwstS2+hHHKPnxVb0M01t49x9/hbdVb+7sXl+m2tnb+W1Y797GuZnGvzP23aEfXj63tc3r
cRrq1wn99E7WsMq7H97sVE/rw9q9/fTuT4+8++HHb1/03xb9oYF9TfNnmIvpe8ZFShEl8S8/6N0P
jbPVb8MpDMeCsUTg39e8emlh3j/cxi+bePn8eXgbRzjEL3//Nu1PO4ZP79798OpmO329pgpu7Kd3
R/u5fnn3Qz267NeBzH3d7vHql/P9+OcL/o+/fvMBnPibT/5gg2+v5x8N/TcTXL6ACV5GNQ2ww3+V
IZB4n1Acp4SK7xmCs/coTgXBifj1h/6+9K/2+Cf39H2r/GnyN7a5PPxb2SZ/a1T9+9X8C8Ijfc8S
QkTM2Hetwt8jRBMO8fOrVdjvS/9qlX+4m+/b47dp31giP/9bWeLx5ve7+BeYgb0XmFCG0K9WiL9B
qfg9ZYxQnJJfzUB+X/pXMzxOEyD7zfDy+W1Uvw99b1ffN8c3078xy9dz/huB1+llsC/Ti/lXQlfy
nqM4wUmCvxskAF2QYyDDfN86/9SOvm+ZP0z9xiqn//y3ssqHt3H6Qb7Z6qX5e/75v8zt5H1KE0Rj
zv+c1Pl7wTETyW/2EN/kkn9yM983yZ8mf2OUD/L/a6N8P4r/mOD/9MT/lmnh94BQFDHEvxsl4j1h
hCU8od9NJb8Rov95N983x2/T/rTx/8fs6n9mXn8jojkgUPELg/0D+fr7o78cD0j1N1P/Hv/69a6O
n396hygTfzDX13f8NvHXBPGf9rMaXr7NEP935tvLOP30LgWcY1RwKihGSZqQ9N0PCwTuT++AnXEW
U8KQIGkCDwEPsG6YFCwtAP1YymOEOEo5hNro5l8G8HuGv0YgvI4Bcoq/1Q03rlkrZ/92H7/9/wc7
tzeuttMIb43f/dD9+tjXXfLk6xKICaAhKaMpZbBO9/pyB7XJ16f/DxubyKNZT7thrpbxXs1p+rDx
yHY5dYJdJ1ylYx4h1+9sHNwuiSddNFNF8z9c23f2gTGHXPunncA2eCoEJ5QkjKS/7PQPO4mpZ3W0
Clw4NI5PJl3nvGSiPPqqxQ+zqcU5MCY3ZmVbupB1bj6kjYgKpAM9wEf1LkLG7Z1R7c9UdbG0ql57
2bC6ztuqpDfxtJbHDY84X4WYr5SuVSt1T02R9BG+VeMQybrH9piqdsiiPtqmLFRNWUSDWXJC+VrY
SthMxfPyjHDC8W5i1BY6XcWJzYauUmBvMg3Pr3KZAzoOJQsvLrI4m3Vy1dYkOqRM00Zu40ReYho3
l5Q05SCnvpk3GeL+FNiU1WwNnwiZts/IDPRBgBPs3Ur8xWSW8aZujNNSK1M7WS3u08TT8TgzP1yr
ZEIXsUM4Zyqdd4Dk003FSJknFq9FrMlF47pDqCMt25lVj2siml7qZB2zRCP2jOZSZI7F+FEtItrN
nSFHbUkpN0/wuVdVtINH4n3gJcvdoobDmMTiXEVkOXrguvmwNju7VmveJ/18WqeovprrpCq6pe8K
PvfYZHNvyW7lCy3KKVmLirLpgfZxl4vakZxXvbpv7EKf+ZaWxbCOQ0GGOD50I9ngaP3NZtZVtixa
LqvW6Id5CdGHZen9TtOhPADXiOXgcF30rtMZ2Qb/uW91WrDW2NukTUktSxbNl0vXDhd1RZIcMbwb
w3KZqP6Q2uiU9ortqhCxnY/5NSdarTI2Fcq2uN7j1mIZ0YEW3FixN2Sd5DiyLk/U2hyYinJbbiYb
dVuMbLxp5prJRpW95PNo86Ud6gPxicq7aeivOmOm51pX096Ok8u2qpqy1UbRJ771oUi9Xa9aKnwu
FvCnGtxql8yjKToytl//xT5XwyT2S+iqDxuOsJUR8utllSwW1nToNg4E3cytD9dxF21Z3/mQL1tX
y1bY67ppBqnaedt31TTdNg1l+6ZJtttkKnXRb1GdtYS5zLOtvjFrba8JwlVBcE0LO2t2VD1OMqr6
Kh9sjDPPp+7glq57aiwhYE3eS9sYVVjRfiGLqgq0iPahTPgi+TrwHN7hsln17OCD2M5BheTo6JTu
ra1wQewqnHQtr7I2EqIYqjjNQii7fKhIfRimKC1MtcZhz6mLR2nSge5mQj0HiGAQa6NhedQFTqRt
1/ag54ZcrIqXciaBXddjRO58WLLYjleh27a98I5epi5Z97qxPk88Q5dVqq4FgEyB0+Q6ntusUUvI
qtjOJ49I/bq6QX1pqzBnoplshsRWnle0xNcbJ/1zBah/IHPDLgbvu0u7JNNxs57uIs7Z9QjbzvqZ
lneVTcgL7tL6gumJHqZlnl+HpOnvAJnTY8Pd8DPuZ50hrstMVKxVWVfPs5U0qZg5pgnNAjh/L0s+
z+uebn275KrS7SrHrp93pTLLjo4i7a6sjxebz0OlL+elq3I1RHqnK08y5dLRyrKsVIbswKcc9zFp
snT2ZJKILCz3dflEkqi8TtrabRmmwmHZqQbsLGo80Y8tSufbCDvWSByPw9PYd1tmUFlds2loLyD5
+cuSqHUHmLbux3W2F8vaqo8dst5naTVAXCsfTTIQYXZbt9gqw0gEcladoRc8ScqkIJ14Ww0z1bGz
ti+WebIXaTPS56QW02HTrk2kn8gibcrZ3iY8bFKkovtSO7N2RbkN0xc+pqMs/TY9t0jMh465a6ui
D31YxoONYiQFYlSmtm432TVItHJlYoL435KPDTdMSKYq95y0Q3MUeoUF4oUfy6VOs7Vt7VHhcmny
CJdhzKa+bG6QWjzat+WShCPTqxfnri2ReWMRHec7pNvkvuocCbupi7qXEULhpSyxfXKNii77ilkl
SwcJukADrNaKbXnsdDJEkKTK5Kny/tm0IjqtKQ3lKU7WIWNs2VhGpzrO4posJGNf/b/qBnJnQ9qm
ubZ2zEK9si9oxfQOUuGYHheuG307jaM7ThzV9/PQAyVAc2A5QT2mV74V/ZeqHUlcqJqzD7YP5HVd
0vU4dR3dr7VnJ7b69E20HCWyxLE+RCmi51InQcmoX/p7rCi7tAFu1ZiG7z3qE5mMUc/uTMn6j23C
+rsE0Pp+bfv+oG3kd9VYYbrrjEqZFEkaLslWkkNC66rgI3CXJSm5nPzCn0YVN+n1iEquL7y5i4RP
TxrrUSaJqYrYuLLLtIj7+IMTQ/1xoXrGcujqbZRtU02kqN1Mf2ax6u213nrtiqm2m5Zjk8ZFg6Jh
lBsW6BZZ4gBuo+pWLXR5boYOPZJoIfduQu2FQCPdYRLcddlE1aNlQh2B1ZhOMg+vAK616JzYwedN
qJd97/B0QjxJM2Bp0S1dsdujfh4zu2zujdcB71IfRWuGq9I/DgFZnRvdWy+ZNeFqNS2eim1bMZGb
8i3NqtaFg0bLnC9VdSxHFz4pHi25G1b1ocLteMlJ1WaRUiizbUIyDxecbR7yZ6v7LBIhPao2bNfz
1LB86MXYZSRuI+Bi6T4E3SgAVdOOY2ZKN4VTV9ooaWWzzPjAx7AtF6PT6gLojMtXjLR6ANrAHpJx
ViFLO8jve6E5ujF9s8llZeAKm2Njpgcy3MGsHdVrvR/msKxZS23OmpiflmpcC+XWqs3tOIzPXck2
WWq6HpHG0640QwXpiIid7WkkHeLNvnRbde23le6mBHw0UUN6ZlGvZF0NtawT2SVvKj6GwT6zeH4p
KZeamAvMnwe/EJw1vpxlEqLxE/BLt5sQ7UJuw+o/RGrtb5qh1gUxZWPyJmHplYsgWe7XeGY6H43Y
p5HReWVEs9clTQ66qtiexnWaI8t8f+VqANuUzkiiue2KUMZovRlDjN2Fcxu9ZKL1N4qqaJCeNPpU
G2Ee/FwqiZs43lM/Nkc9Un3jlSJjoTu3vnncNjyr3KI/pJMocxtRXedCj5xkOiasyxZEXFu4NsWh
CHaMdSmpHyDVesrVMR1Dnem6W8asLNvqQMOSHDc3dDvWD/Zs+Rxf6YX3GPiteQpOEXzhKx/lekG8
PIiy7JuDTrU9pzidO4k2eoAjLxnzKDp44tGneazITbLgEXj1uMb3gDaKguPOc5erUJf5MJVF60t/
YSpxHky6I9w0BZCebl+VtjovlI4Sz030si3lNO49m6KLVOuXnkTiuidcRXLdcPM2W15dG0BFyP5T
W8khJFA9zGu55iaJ7SVvamBvkY+furgWN5Dg+pOLl+QkRDTtQLiad0nA4BPBlV9ow5rCIMKvA60x
EGg+15lbOAIU7aKniG2AIWsoy5CJzsZ707VjwRva320LS0oZJkyuhjIWWS228EJ1U96ugOJ7XEWx
bCcKtAzZJpub8W1IujZjVdznnKIOMmdVAuncUE7RclUOQArqhZwIWKjQq+GFZ7F77DBPCgaJRjZd
r4u2Lvnlqhr1hObhqsds2o3GjfvG4THAqbfpPNDKnJgZOAAJbuaDgxojF5XCxzih620SaJMljT01
rnlkuH2LyvR68qmTBimT9cHEu1rZ5RjVKWQmPWaO81EyNG3XTd+3r34d5msH7EtOwALOajPqwNJq
ueDok1mMnKYp2RlisrgK64FEiYJaalvyVa3tDkFCqqSvVqWzuqoOrJ7XrMSLdOoYanqhVnYebHUy
W80uK16hk03rQRpNFpNtHe3yBvkIKGP7OV36CsnRLw8dBNMusZXLWLp2WdybOlepN7fVCoy2HKrk
lE5zcpugNr3wceeLCWmR8yit9yVE+2leebCSuAEBBbXxVzekGV/BNaIwNLmj4VA2jO3NUF+kZtrH
aslRqvYx9+DTa7ZY2uTAOuqLskU6G7AOpwHTOF8Z5Ca5OTcfEW/RTkeayCqhw5C1ZkjybQuHpO4P
fQwcYkt8mlHMRlkx3RzLrQX88x5MXXYuylS7RoUbVXRSVS+eY9ol+7Fc0YchBcou+qq56MI25yhC
1WUT0aSgi/CHzWv8c0pS8oHxrbsDBqyPU1n7J2NLdyS2i+6Qn+md2XoDWElTJRM7qPMwaXWp2n4r
YiBtrwghKKFRR7RMJveZqJ7KKJnOodensS1pvsblpzhA7iNrtkWGZnMdPfR6jk549Ux2ixgP0drw
Y8CzuFzYIu7TUk+5rXqdOQQE1nNLipGgNKe8O8fKogzVLmdxKRVJoIqM2zvtgwGeYIcXxGyStxEp
swRK/ONI8CGYLbqISd0WFi3T1SSm8YILc0edymhqmcTJcOXwhz4Ol7OJi42kOzyxj0Yt13aJ0cGo
cJ8Kvaui9m5th0Np0Ne0xCpZIuczoIYfhko8t63Isa9fBhA2smYwfV6lVt3pMLcHMTEA9oXYc2IW
DH48uKNIzSmlqr2oQrKd2KCigtO0ObQm3SercZnRqjmUsa2Py9RUe+Ln+5jYWqar9RluoMDbfNQb
cA7HjjGF4mpTrXklWLuzmbnesnqxLNczYCSOo4NymuR0auJ9Jdpy5wwvT6GhbRGJajwIBJW+tL3m
57rCpUwDz7cx9cehMc2+5kc0qxNq8WEjbV90qKaPXcenc5xw8ljrpAPM9ZMoKF4hMZq2bZk05ZrO
WapnutvGunuKFtHkKYESZWMRsLBNdCflYn/f8fbG0FjqlcLznhUK64up7d9soMNla9aolVUa2wIA
/iLu0rwfULsDiak76tSUWU+CybEZ1ssNI58zjuNXAueTlZvNlHEbkuc5Svuj12l6E2ZLd2XsUW65
kGPVdIXvQ7xjfspmUsaAee6ZsCi+86UeocIJYr1tY8qxTCM27Caa4j20/J1clhiu3nCTcb+IYomi
qpLdQM+tTZKcdWw587VMz564y6qOZdjQW0ISJceNXwhxH2KT14rcrHVzbKf601LNb2s1MCLjzgER
x31oJGVVfxjR4HaQNqNsoU3INY7iwkXtcjUbj6DKjuoDZK6DQfSA+Jgvic+XODUS6vBDmjoIKN4W
kG3f2IKvIkvFfuTbgUboRFO/SeBau977jzNeqiELhJhjD+ngfkDxekVK9XEmeMsGFz2RWtDrVofp
JaKkO8C4tAZoC4cC4kh6qMaAokT3QZBLR/q80yHOuOvYucdDKTXFzwDglWRxT58IaVEeKbbm6Yqe
Ws5Erlk6ZNugdsChs6Ez2eqmtzkesfSQmqXgQyXNnA5ybdkXw/GRqfrYmpCppX3oWQ30ki5Z3ftK
9pDAd23ZERA39o1dn6MuTSB6IlPUSxnXskma6R6K7HHXJPWlLn29F2i6WYYGqB6p1Y0ayaN2Ys14
ID5HTQx8EYFixBGeJRnrXejrOktq3ICUh5KrENiYp423uRl0mVPLCjzGBRucGzKK/EVizpGIT91S
1xCO9n7WrZy9vSjFKA71OF+xTYQhH+dZ5LND7UPVu/As7HSht9HIBgoO2XbhwPom7KeuxrZowuqO
9TTOu8gwdIyQwgczIn/Tb776uTJoyCBCX6DkfyBDky03uJMz6j9z0LkeFvhuxREB9T0qUIYKG/w5
Yg0U1Ixtuzjw9JDgRkNtMl9XLcgt8+y6J4L0djB6nStZRykpUNdpaSc/5H23dmfMQTGDsqHceb6x
+00tdVbGW7h0WxJAy8SsPzKm53yIQp1bEc4Rb60Uiw5gqLjad7isC475KmTfkfrR05BcgZ8VeF7P
KyvHsy6TTTodg+p13DROC5g7Po9jEh0xVIqFI/Gaw5r8tdvK8eDFci9Kfd9ip/bc6W4/iM48RRaU
754ONzOxsK86rgvTszKPymguKsjzwJN9BOJrkgAL7+5Y7L3cgCesG08qGUe9PW6d6bJ+WT5S5wNI
B4M6srpKLpsYm7zyKgKJuDFdL0G+Aba8BJKeedVRJ0EX6nhONTxXEhChlFWgUPX0MwepS45mxTeW
6XCrx6pHufmqh4uYL6Ckhp3BuPpgNmrOY+rshSUsdMVY67KWUTlaI8s16P1ilPl50Mu0nwyhOwdM
EwiVmfM2gYxcb/Gg5cA7HAEurA26FJT76uzZerJUR08l7japOyg9ijFC6EFQilaJU2NG2bhWn8MI
lIyXHTr4BcWnwCsL3mnbTcmwMn7FCatPZTX2B5hCihjX0xlqefxUi4Ye0cT6L6PqgDqWyXheBiiY
bETiW2xpdR0xR/a9GvS+Hy0QIMR6VFT1DJnXdy09x37KByB/BAk8SA0qxVkMFN/PLa4umhXjBwB+
ez0zova+6icr46Hv91i3pN+FuMVUNn0XMij+O0h9fMvWpPcgs/UzKGFuxeolZYAXsqaLecQovZwF
tSBmLvZG945lKCRvpYjJp5ggp3L41kH5uWzq9gFoyEctqJG9GW7xPD5gYXzuvwpe87Ycpm3tdga4
8ymEGNyVgvCVMusPIdrsS0drfki7RGddVcaFdxN4EciDebWa7SaefcigjzA1cuUpyGYGTxBaCQh0
bIaSwvGdq3V3lRoyZ10f+H5S06NfVQuXP3yoUd9nQ93avcGUXW1TVd+t0dj/nFRppGRc8mVP6Jz0
2ZwQJTsKhU1VPiglxDEVX+nO7CRL51OotQbAC/pixfxLDfRfEt1OuQEJCpAg0C7zcyoeUNNCMhk3
E/J5QvbMtvJm5tsNq5i4VTwNGfJNt3MTfrUqBWekNbkMLXDjQW/kNOo1evGsqorSiZ/FhNID65SX
wJKSbPUNkDBBughaRI0+Bo/RAbIulMb4ogbW9KgbRK8wAvezPKou5pBGByjslgLI++1Us0gGaEzt
eD+dERD1MZ38nmygShYeb+PRjDa68msQIGIkD6pjsJxpob0yGC1VxHw+Yw0S/gCHb7psQuQ62vr4
DJ3dTaYl1RcoraAoNkaAMsTMabLhDuEBgnOwXPJlQRe4FPdrmJKTsvY+hiCSMV12g+eiCFPz4Bp9
tU5bnCnWJTJgXSO5GcR5RuctPjA7TDsMDAewEKTRpJiEB0xeuHEn4cikQAUYEnDmpQK9mgEgIzF0
j6uI2GdHOaiWTokMiMUG5qXj0YEb5mvaOQUltel2HcDi5aTG8mbYtu1inVh6mYqpyUynH2nFbtmo
xW5OxAvT6NSE6pyC2r1P6AhUcCW3AnjRqVZzNvR1XrfD0zrrZ+odCK1jp7LecRmZ23L0Kt+gwXI/
UNJmOHLNHYndcOpHN+W+YuqJYs0OZliA0oTR5dOQ5tWGeN6rLil42kX7dhKymm8D9Jouq0XpCw2x
9tKGsi6zhndAu6cBtJeZQgRUlp7RjKEv1idtXKTddFH5JM0DGo6IAZ7KhG71Pl2hJTjXwBak5iuk
k7YpbRbTJAbJkdk96VsBZkxb/BT3KvlKgDp6TENjPyHQGiB+ZuzO8FJ9YdP1cUpBomoivHOAb5di
bTTPIh+i180AMYN8uNzWy+aPVWeNkmKY4mdaD9ED1P3kvIErPwXb+CyAxq5yM6vxGnBh7OHUSfMz
C8K/Kj5BXQeigfDQFDKGbqfR0tqAepvMT3Qa62sfBQjj1YARoMe0qKtyW/Qqt6kGmtl0RDw0iI1H
FdwGcDXE/uMSc/o4K6TsvuGgU9mKOgtKZpI4YIO4ua5oGtmMNEEMcqvaZYMrqZMuSzCvH+dmGY7Q
jgIaZ2dc76CiTg58butNMtdheBa3PhNm8c+a21fVkiib1ukVyvLIy752Oo97/NoA4YOG2waClYw0
SCLjHKcnj6cakMLBbz53drxcmVNAKWP6bLWBWILheLyMCBs/kQbXPBtx6Xbd7OlnDYR8t/mEHdOy
YpfQZQ1X8+BakMegJzywZdp1dUNvZ5YAoilegaP0HKw3K0YOUVQO0H9Sa6ZTaPuA0mUlUEUPX92h
885OAWcc6foQh+GOhQTakE2JbKYTGmW61M3lFLFwD8qa2vWuzbbNizhLo76dZGkYqyH8tK9yzoLK
OSrpJ+f6yRdJE/cXY9S0j3gSKMegyh54aMh1s0RmzHiZLtCKxiQjPQNWmaAsJhWHxBfqHXQU9/0C
Dlxt6YtVcbVL+1LfgOP3xRaJ+eiww9exVy9iBEVP1sBp5bz4j0k3zdmYVH1hku1mVr7JcdcKOcfb
LEuF14xN7Zb363NX52aMe0mwu4KOoIP5PXqsuj73qxn2ok63J+tVnIfKDcWs5yUPAXFZNsMFsRSq
jv+i5MyaLMWxIP2HhjYQCNDLPLDee2PfI/NFlisgQCCBkODXj0dXWXdtXT1tlpVmUREZXDbpHPfP
T3LoE7rAtlpCjz+a2cdab+LPjq/tXgqZqtJnm74RKcQvBwnsMep5P2RC0ugZZtNRta3gD1barlqd
5z7xNfgxHBAdesajO6n1+Co77B1Tn/pZwlj3YCwL643Gw5hrptoug4sSH7k4OLvqIEui6+iFeG6N
vz4mBIZPScau2fKR+N0VZTtKgiaNgqIJsSfTPsn5Ebont/fBqaNmqyPH0KBNH65ad96jCdZpuCXl
x06doPEoEzbKfAYQkM2B8l+dmXXmzLJDTdmGD2M2KERnt3Ki8zM6M1Qpa6TrdJrDG2HFVo370BV7
Tz7Df+NXKETE9YBqMh8VGpq9G+MrOmOp3YQYyh3e380gWvqWeEc5Nr6tRBfup2Vdk1M/z/pqPoKu
6s3iP7aWbDVMBsic62xnaDf7rOpVWv7Ubi6+hVyJUxEwBRMloytY08E9rmqE+iDa55uAG5rDXZMu
m46EAKOY0+NaHi75ue9yHGq4L+gB4bq5i9Wsy9PowNMDLfW5OSJzF5r53muOQkLNu1Fujc/RkAiW
+TGdrhrZQIxTPj3wA3ozlZiDPmfH9FPZOJCZjWGpJFNovg9AB6rVG/gpbAYcb1pmUgcoFK4i352G
cQcCuQHjKdnm2SRrqOxecX8/70SJ2kFEwNYFXz1rxgBtm+NFLJZ3PxJt3UZd32U2aKnOIsh0EHfg
3/lFFIWeyY7QxKXtY1iKOtiu9sPFeaqk+bTu4X4vduyPs0pEtrZoDHQ4XSWSLks2xxSbDTxz1P9q
b7vHVaUKcrFYwruwwQq9Tv49vIaqs3h+R7q/BAPtvx/e2D0vTCff4cCxa2qCS2dEOGfotwnUImK1
xFoYDLl23vTuwZC9mwKlMyplgKci8Aq/D+fPlol1zxzfepK5LoYUjJrhGzRQdB5EhXcN8cMSYJCY
cOPGOxj/7jy1ks3Z4iL/qhk7vNpihcHkUQWwy/vEtdOfWYt6I4+nzb+C+ozdZhNUfOMQK9EmRDau
QxuIE5gdhhtk1BuEoU9de3y1jg3YxmP9EpJ2OHeKHn2G7bR7D9B/vq27D1vH+P5+shp1OnqNBd2U
P4AOQM9SNKzbyr538iHdxyPnMo3v1nFMSjIP9nTIfjtyKH1rFSzNFFVytmAybCa4RSe6evk+hPk/
G5weskR1JPoBjleQ6W4KoGI0izulHmGwMry09pQjD1Pkb9eJB+d1xXr0CMjDyw8o/QWKdnc/0CY6
kXVt3ttVhi+qX3uwDqBW4Pb4gDm8aKsX86GPe70ObgWx0J18PaYwvNYlt7ovpo4CJkoa7ASd3CG0
b10/ZoFtitULyLVvBpmvkgDykUdM5mJKE1HEKpZlmiw/RdCtxTpxZbJFAGfQ/XCUJAyeE2j7eecH
rI6xmpbwd8drbyD3dJNHtcQTzQg9kttdqwn9vnNftyFUW7akNn2IYH5rtEgHu/W7YHyEScueiBe5
exjY8VeStvLK22P4atLfLkIn+5E3zWDycGrTp2iHy7iH6/sCHbrPtNHHTdi5vgJJo2tspeBdut3c
GTI+At7rrx1qrpNgS1hENn1Vo26LRagOpWTqxIsCr3NvN0dd5ptIvDp1wCPw0gNwU7fN+RweNxoP
RC57voXZuCfnpe3rdrTthY4d5EiephdB6e3M+7Ew4Zie5LTLM7SMLT+6ecQb4ewlmAHOHEJD39RJ
MuY83f13LjWojzAM37w4fEw1f2FutvetbmSRcHRxvV6aYrS0LUYnHlr4hB1oqFOUJnh/GNuvdjFD
eR2cvO2nTedS9+cQ5eyDTDroBmiirtk+7n2G5im8mRM2naD7fUuX+Tny96umgWGUevQi1QjTxk8b
cxLc+e+tVkm1DCOraRSNL4FJsHCt8KTPUshLMMXmCpoAmJCIuqILiHodelyodOFrhjZZpZmGUe3D
fFg+lnRP5Sq2Q9WoRpyI1wHrmAywHV/Nle1XCADO7MTP5ga+bBv5wwOW6W34sORdiZ1jquBJ+leG
bD9mHUDrWRp64p2FtDfAirzFukVz8F/7BTxBBHe6cc/b2rjbVHJ7YiY9HoFYDuXRcUhSLJCPCsXF
o113UjbtOH/ah020WWvcduVGf8lbFqQ/Yxfy123pXdYeaEqhSHPV480/1B3sJfYmu2Ev5m6CatBO
XtFL0pdU0vYsLJ3OY5uQh6CLu9tQLhDKj3bQObPheg9toP02WPjJWTfLKA8hRAJ3COKrPV6i96C3
DuvZsUA1dPTKHDvT+d67AdxWBz+BRuyb4iy6oFBpvkEkRA0hPqSoUImHDk34iEbA0Eu6vn9IQW8+
B5WVsclfPx08Jq9QN7pP4NOOO2gbYdkw7pWHZuJH60XB4+5iOAd8Gp654G0JWwDtvfT2LGRz8kT9
wK9bo2hO0rh93BrY5/kcmeGytqL/OQXh9iSxvcKY2fmdYopSsBPDeBpXEZWe4PxixjCs1IK9Bs2z
9O+HYbefILPEN7CshjKdUtPjkY+WOzgG0dNo0IB7094/9ZP3VSw6rWKN/dMM/NI2boGdQ/Vdo1zw
hcoNsmKPdyaT0+pjT+w8gEF6BGJzkPPSCy+DPLM9Hgfs4oxYo4tBJnN1aAgZs2A2nxkJfhKR8isQ
OrPMZs9o9LXctPcxioMKZhy/jBPeQ6vViMcWrT5aZ6gFcKPIo50W/igYm8oGIMCz5N0TdlfUPBS9
NLbf8KTHJIGX1vZXSz+4l9i2x2lfZxhPHiJ+GUFZW6BG7t+YmHeI0R5v37cogebGBmEhO0DfPsDV
YInqvL5K/DC6Wkh8fJFzF9dpC/duWccwZ2g5cyYUtit4fU9Qw9YTpckH3fehvc++WX4CrtnzdGro
06GC47ztZshx35YMTRe7zL2NoWnAicGrqrI1Gi3kkyWBrrDHXpABy+vwWMLBHt3t1q0P4xGsIOPW
rTKMpxVoMtScTefVEtbN07K5GR3zQk9+pAi6qjSwFE3lnv48vJhipzjkS9/iGsTRElbdEE/nabP8
Vguj7yK+9Jc2wOdvDoCCWZ9EKS558AMLjnez8X1Zy3jwUi+jw4A16P+AFRNCkGGv2s3SIB/S6QdV
Ey8d5cOnYd0bWChAhl/iAf4HBX11v0kuPvds2W5pCNMFOi1g2H7zBqxIQj78Nj34K878C2b9bZp3
DVDj14Tmv778v8/TiD//jBP++39+BDz//VX9Y/rAyJc//tAHCP+vn8JhfgXjP+jz333xJxL+P7Du
j/+MkP6Hb/7/gfAg1AOg4f+KiP6JhP9dfOPfAP2v/+4XDp75//DjKPUjPwH99VsOHnHRlLAwTinD
Uo+/o39x8CT5Bwn9xIeQTRlJkhDf+pWEJ8E/IK0EBJB8kqY0icj/gsIDtf8dfx4zpMCQbkHYAnJZ
HAPS/y0Jn0Reo4Y0Tmvdmr5SqJtBH8RdAbkkzVa5n39zeX59RH5H3v+Rd8fxoiAgUZLgijCcyO+P
J4jjyA+ypA76pakb0osfsAHVwxZIwED7ZouRH1BzDH4K1BmoOgbfgZrXQ3N4NhsJX/qNp9t/IfED
ROL+eB0ikvpp5FNCoO8jwPvb68CWpYvEPqa1JcPnVeJzBNZLMyg9KFYjOJQHIPsh1BVHZVK0+w3V
xr/8/cXBPf3TZwgDxFp9EgchoX/4DH0Kz8UJk9Zz51TN+4VfUjj8z39/lL+444iepTRNQpawkH18
/zeJgwQXWbSHSOtwAqXU2zdENLqT7YY5U3ax/+XC/sU5ISuNs4kSSiI8SL8/mibwTZ1IWc0kugcH
VTATZib/5SgfeY3f5TkAs+KNQDwkRvY0JX94qghABGUpT2pQBDiNfodxN5jHDSn1//nisSBCKInh
fFLEXH9/OtQ7cEU/Hl/e+eg8PfHTdofK+1Deh6L/JY79Sxr7L16Wv7hTYG5DZJzDiPrU/8PBnImm
KVmipJ7CyMdyD7a03eCSjUeMXQ1K8N+fG/m4F3+8ijBwwhD5deR40z/cqy6A+KCTJqmVF6EL2SZ2
bRPuPw5wes/T2PbFLFVctasF+zCJqQr8kX+NhxBSg3TqUQBHR2E1bkXYxzyAhK/mHKGXoaCofe9X
yGVzgU6IqbMRskOROKYraingm9lkFUqVFbSXoSLeMl/ED3oc9S971H+8pH/1niNCFBOGojn98/No
ZUcs3bukbiSIL0G99LxvFMb8Rl+8XVaz4MtZ6uZnErZzGZGePNsGG/PfX+q/el4ZVu4Ihhqq9OgP
V1qLPZLYtBmyByY6u6i7lT4A68Bv4/x/PRIC8tg/YLsh5/Sne9rO7QI5g6V1wrsxdwg6QSgeP4MY
JuXfHwlP5p8fWOZjtoNPQsg7yS/f/83SosYg9BKywPlgGylRZyCygBX/nvixe4w9PAhErc9N70Dw
mXXvizX1Vc5jaA5ZPzm0Ncs81HuSMPTmhsZPaFfpF7qp9GSREhig55r9iS1rdL2u23SF0FNXA8aC
BDAjzuWqAfYN4gWByn2Qimef7elpbqO4YlruUCcWVWitkLOgmgX4QX8IMtpMlNd2JTBExoDfmFbQ
O0kDJ/KlXeKy2RwBe5V2d9wfxZddifEcwUgv/YGh0GUf2O2mknOv1uS9C4/ozqIdPB1LtOQehwxD
mY4vqU/4TSD2gvXgrQc+j+cWtka+jAEoVMidzxHR8zsxcv6SIvWRNYCxSQbgludysihJ5bZXksnh
1CGN9uT5s7pL/TFVmUtmi67aHVBMbajeZ7fxG721/LVlsG+2UaXfYrugseR++Kn3xJscCDSm3pvi
K7Hqu5Dp8DYZ20L5COpE3niSCHrMWAEa8hgE6bRkYRunYOzD5e7YdvTAq4rrRem+xunM4JSYgHoN
c2s5JjRO29Q5H4mUYb9mBqmzrOvNaGATcpPkxlNdPSi7/UDJhGvywYK1rYQjP5jgVq2c45KFxJzV
FC1vAcr8VxqlQhUjnZcYnqHPXlG2IYJEJVtf0mGMzsb4W26V8nId0+habTFgX+XzBcxzik5EHdj6
M8SZRkhWQzSZot/S7kQapiuZ4n6TZcPl27yFfuExcm8N7i0WoS3oymim9FM7k/0qYST6BLIPanzq
9+0d7HQfiYmtx3FSkDkpPI3FYeVEFgHI12jZq12Amb2G4SCzzffFN0UFziHhFE8828TyNEQohIqx
tXPZosS5jIvOhyBKfh5NuAvoN8gsFv4aclGnZBbgEHqwH6Qf1eWI13gqugG4OAc2m7XcxTU5UOBk
WA/GrzFyQTADJ+4VLAKSpBFPyMKmN6eNg/CLD6/pEINrkLKbvEPnPlC1AurCbW8cGOhw2qBLygCf
t7XQZrM2XdEejSRuGWS67riGnloZJBkuLaP6qoHm8RRKu+Z9t1duTtpnJPhc2XUzIFx8tpP1pqZi
amWnlPoj7q8biwaOncngTeCjtoMBUTQ1wesWpslVuKsfUwAFtTMaXHyr1GfGWRygQA0V8B6ts9hD
J9qTDZ4/mGtbe2kcFWrocfWBfN2kRrK8dXt7bqVOca60+YCVxi8+skC3AhTkKQ01/w6dh/KsF9Y+
bAKhvAG3+IknoX8SnTeUdt/a2nPYhVGK6m8bHdcHwpb9xKw31noxaalIE1RohuHBE1a5DQUiCLfo
CuiuKF1iLEQ9gYwO+kXapVfLlKo1Hw+LwOzSpDl0iZdm36Ir0HxAPoC8XGlYCV+6NA5fyEHXEqp9
CN2Ba4Oq/CPy59Pp1IKUQ/cHnhuKV3Pp+g/ib0ZxDKqjvWrm7T1N9XJJJ78HLIcEIUJW5qT5IW/W
gaINniN7FJNEJqCJtYCm6oFxioyYCjei8A7pcbuEqi03kRxPRCXLzXz03VckaEZQP3D9sc13tVK9
u1+2yZ4B4/H3ufGbzPQHe4lVdAAy2L1C7slx0zDxbmIW19MygheXfMmb+J4P46Pv98D+2jE+WwMB
lH8kCI5tqwcoJdUUxvaHtHIlWT/3sBJS4wXvjqnwBsbvjeUtULNZNLmzPtIi0R5cD2sILilO26HS
yC4VdJhsNUUfCn0Agxypzzk7tN4e+TLLrtIRCO5hPQgcNO8n0LVstAl9RpF01Ea1KkMq+BWWil8H
yEiV1k7BTSTXh7nT16GQe5YE3pwfWMFrzuWX4ANya3HmIRgHUNwT/PUV9DloxLY74NgRu+WhseGt
soY/Sh9Ee8Kb/Uqk0U00AZpDIAa5WMBMlbVGfeYQH8BbBwC4d0AjVKWVANBqs9jZ+F0mrSuDodkh
pXAImKnfcLB40rMoq3Y5v6Auc4CJuvA0IBZb684OeYDF5rYbfXAZymNPLc73k2YW6BpUOahNQzzG
Dsu5Ei4LBjMlRQKpwS/prvuthBg+gRdlRwI9X4IPa7B4vW2tXr4ikskR8Uug150bsTtoWxLW3roc
P3fSwSXsYrCYifkyHsN0xq87sjV1SyUiEBoBZapY9uERa3/hY/EBOuWr+hALz5EO7z/BeVEXBIIa
pEeOIwt2q4p+aNqq65AWBbSA19jqK31wd5cM0etG4MU0zHsJB4s0Dzb5+9iboOQcXPR53wYAUHhs
8eT2y5CDZkNSK/afkg7yF6K0XsZAnZxW6GwXty/RaVTGnA1HDBkvtFR1TPFQbIqQupmGuMaS4pVc
L35mZzJc7+tI7s0MZ1IC1/40pdFSqggZYG8XV1JjtXALm35iQ+rg6trhdICse2kCHx5556j9oYeD
Rtnky7EQejmy42A+aka6V56XTkiCT+MZ5OLPiSA+4ywPnoCBqUr7+32nt/6yH5TmEwudyYLA2163
vm9+wj7SJZKS+52CYH9OqOKVJ5l+POjQVIDVv8MBNreB9Jpq6Ji8xKnoeiyPpj+5DdlTK6Y9Nxxx
i3X0H9SBCNcStqQ60s1VB0I/HRj+RsJBwJOQOuJXQWgQcCTiqCbX9VfRDvAtW0eDiIzrV5sjEDp9
Iw70KIfivIIcwBVhoPxrLlmACNOUInQZX/WRed+1m27c5G7dMC3f6Tiba8CRc9EEg0PAgdyacFpK
xpflS7jEtIYiv53hEdYQW18l3/s+M8fclEpyeZn4KMp2dk3RmHh8cYtbb1lip9rHJnhCxvgi91G/
RHObIlmfkkLBd/+uEFHDzo2iICPdhEAMpggUM8Ha3E9xcwvMpnkINinzxZ/jDGAM3MzQH6YCQsZ2
71r9Nu9yzSbPXLdkG/JxtyV8oK041n4uB+MKPbm0g5V61Btbt3wg8JmOObkhB7hX0nXdAwp7SMYN
4Nr94EDOZZiSbHTydRFeV82JLLfe/ybj7mRssJ4HswPMaRdyCqekKdNgwy4cuui0wrSqBw8JIQZ7
BDRUtcf73mXz7KUXNjlRkBAoXjg8g9EZC2V6ABeWFlI1SCb1ri/ThjVlDOCgbjfW1SGOn+mRflsV
5e/JGK+QZvE22z0uD/Cy66xe9nVJEU3ZL6tnXlNBkPjajgKX9hNbPezRrfct7aZXEvY3soufmg07
VDcGd4NLfjT9D23TrQZwbDK/a57X2LTZqObLTOEb0eDGI4cB7GSW60F7iMuw4BqB/b7mNky/TS6B
4UBGBJqbXKbzVoexGt+O8DukuKFKiUKswgqkntUMcIPuENjHpXs2U4dc6yJf9JG+xkrgP/Wln/ln
N9HrNhg+RYSuiHpEGmEmLSo5ti8tYSc6js82FZ8kUed5jYacLvI2jHt8dgL4KJ43W5oNuvgqJpsR
z4gCMSQLLZqcpbSqsvHwCAyDnkEsfIXscI7tXoDgR76EBBihsG2FEi0/xQHZ7iRr6N0+J8uPdRgY
RDN67rmHbCY8tmrj9qhHy7/2YYLGHO3+86qA4H80+XhlPRp/gys0V+MS5Q0faaWZP1z2fvBz2Jsg
5FoXqzKCGZe3Q2qKxSGSCe5HZ0zKG4RHXL5Ih1plxkCFEH5H7TVoERbb9ejqPdQwOGHkUuFeE4Nc
RRTJ4phwv9G3IkHgJU9p3NxFITDpmOjP2wjbFRAUGGxUn2MP0pxyrPkAQhFzYI/tEd6Egr+tu7wd
Yx6Bt8R9bzwMwRDJoM9tewCpjOSLv0Yu13A6iRPzuwi2qUCqfM666WviRW/IWSLmDHgq3+cFN033
rzMJzT0MtPHVQQzNdvjNJ22b4BQdZCpnjuEIs1rEl24zKxAITNQwEEQuifSB4yfKKxBGR22b6M8y
+IBf4hhn6gsLhGG7o4HaMYMgnMojHMzPZG/Du25yqO7icKh2358qMBYraBb/RqJnwYyHKL1YyVEc
YXgAJfper2gw6Jyq93b2aC1bbpCAP56UaaaKzyqnW3OLgR7r3aKAcDusHWXEeHwzMQLXUzj0zV2A
YQwHgeeuP6xmP0ZznEr9FvbiKE0a+hXptF82fGV5YmP3TDxEhBIJhM1q61fNlEzfHE7qkmgglLHD
LSWBmU+k9UyN/da/nRVyps3Uy8sI9hQsVxnLidz4uxrKBnbZTY/5MK8LvNfX1NEf3GGGByFyq9sh
9N+GbVhPMhDe0zxv+qvFs30P4jEGzhMizxyGXj2v7Va70bW5HdhyS80ylhFknCJpW/BeqkNGwqKa
l6j7luTFn0AVmGYNKz/o8Bgu0PjyARlLPzPtbM7LOCCZ4g+fdoVSsYHiBTyjlWWngj0Hgu3wumEc
BhM0hFYtUCsJ35xiJSmS5XF8mYGPf4K5WaBhissBr2/lL4E580iEIPOpLTTmJtx3PhWoFvv5kiTt
9hGgemghROXbiDsOa5SdyEaDykFLAXJpTY3wYncTOa3PwDowWsK6iuFFRy816qtJgO8QnUZdCWz0
hlmDAlcOiHT1gS22g7fn+dh0bRyJ63FY6RWOs5em69v6oGRDisumF54yDs1lUkXYoZpHA/ZkFxJ+
7qUI8tit3xFjwfyXvvksk2MAitTyt6E7vqMd14/MKoSjG+2ZvPPMUmF+y3bl+csLIfQNh10uUrNz
G5uoXDBDIFuifc81h+RG3ALewFe6vSW+B21IagDyo/GhBY1eANWxi3Okx/D4TNNc0XbiTYWmL3oz
jQ4KPILz2yawTfMPtiyVBrBkC0YwR7JRPkCrkC8zslZg2tr5i+jb8LHbOv+efLjE7Y7WMMOgD33f
E/ZVAQ14hB4X57OH6Q9jNE+55YfIV0zvgcBkkmuQ0PpaTqovY+b68+YkJFHF41J501h7XguEDQZw
FmKMAMZugJvNqAbcmwaTzYU8Ptsl8k/N0ezv7aQdjH6hoXDEXxMHwLMFRpdHYdCUyxjOd0PIkXzb
9u463tBpYdolgonKf2BRPAO/QS7w5JqwvW42KUpEKLsrsm3dAJIYiiogZDMkWWTC7WEXfvR9E1aR
i4c5MjUmBoRpHsZH8h5I52MQkE0cLbVpu58THrIkD2cwGNdtg5GqB9jeJB98T/My9UBoF1Gvh3cb
U1N6u0Wnd6zHs0+aqJ63Abvj3kcFXJMngdkLJ810/23kwDvBh7oida4pfYnMe7/M9IX38qpft9t0
DPRlwKivbOqxd+BdHY4b4OSsFEka4iySYzFZKxFhX5NhesWB9AsG007v/cfaGUzj7STXvhIS4AgF
51ANgQXCKNJVfpqBCF5WOpLyiJJpL6JJ8VNAMVLAqv14AgGjnrs+jG78kfnIrWGSjv/BBuyegMq+
DPNwCmZEkXDozhTq4EecrXuANXH0sf8C0k7H7EBoPW8S65XAPT8mO7SeyIfV8EolDbT0XfW86Hts
BuA4jYeJCGoZKo/b+UvcM0I/7kn/nGD9uTVjigG5kiLnx9FM1gaXOr3G/t32VUf0I6cLVq/+MU7Z
iPEtGC1AoV9mM/ObG0vNfQSbvoCSs+ULR6702LxbCO5J1nGbLxvHwgsfofIocCWNOE6NpAuADzHn
IHxz5nmYe+V6OmcbU/0NbYTKerW8JqoTbQE8xkODMMdfYrRSJ4yZILnWfC0tW2d4Zat5REsJur4f
RT0iGlA6NeNTre273bH7EWpciXlVfg3p4/uxkOiMoBWg/cO+mr09KbvaGkotZpGkHIQfkUsZfjA3
0iA+NHRgpuWKtPje9uoSpt1jvEpTIpt04eAYvRxPS1DEUIUxPYmbG0zJIF/dlCBdP4pxDFCD70iC
gOamkELn9QoQgqmThHoYKaX99HssNlaD2pnfIH/MDzJd1sfGAjpJWSrucOXRF0O6q4JNJ3eo5RDw
V01ajXj7Cn8jP9a20aBiAndHj+bgmc8G/hUaLCp86OXzlQyblWO0wgIvHthBklSI5iCEZxsFAK6f
2Lr+REY/cKUf8MMvYutgO2IWRIs1EzNgXrCXGgo8ZICaRXeDNhj5aaQWVrbPE4puZMaaFADuMSXj
zUp78dLHGy+DNlXXSxNbRME+HBfeeZ/3ec7d0LUlhibhtxu7PFKLyPQ4B/4dZJEEv3phkC8WKHo0
AfxYMdSyDAl4BdodQ7LKsQXfBKfHgdGSBfLWG/IdQ7EuYslsKEp0QDyf9fzTHPoFMDh7kc4ik7Ug
dw7IVC4joO7jfZTuDaFY5KrXnoBt6ApvAfmPOEKDyEbXXZoJmhAMnXMzdN7rYj3MduigXUJ2B7DX
Ht1l5q4Yxzaq1gldl2qoOKU+QzO7RR6El1aHZ1SwgNM7wGrI863YFQHBpvMCacdiuplOVwS3F4vU
CBJAyJHAVfFuJ+BXU+V7I3QcKBrtU4g5bsChzXRGEONjSko7P8XbPiLEtsYBwNVxgUsNwSNGqt2Q
9X4JZRRgAQvjZx8A+En3DZpIjW5lKkIe6YsXEn/Ndn9Hli1ddKYayJq+TeJ3nNdRrfu4fBgVdHoN
jw1IKTqW4Z77zfQxZUKF30Hoouj1Zo8VM5MByaEszi//j73zWK4b2bbtF6ECJuE6t7ENselEUnSi
OghJlOBtIuG+/g7o1DlFoUpSHLzWi7jNUkm54VaateYcC2M0k2XWLynkzAqtb8LJEEwNnqcFKTUE
ljfyJc/2mLkfuil2r6hIVdc5EoH3FD7dc8e0rEfdjqL6gBQXFkGkiQEFdC79l37yKjYyGsgfnRVO
59vWE9JpDkk7ZRfEVtpXZQM+T2DxLYX1qAjhp1BPa2yq5czB35eoZhsd/2XbpJiEGl9kr41m6+fh
OI0nncrIfVLYYXTIYk2y7lTORwwT7o1dp/ln7BchGdMoulFjtbiZLdyIUkXFp9T254u6EPx3Ofik
IXKNA9N+LFq8FXVl3/uV7dV7aEnGJ1lH5mlou75AwRk7t5mO+A5xsoxutVmQ2421MzMOkydd+t23
qjSrJ4pI4XMBZuZFI/aPmuTJpzzO7NxhJ3maymR+Dqcq/gDKi9CckrB7MVvN+UQWWHzMJcC5vp6R
EFhJxMfGFn5eNPAln8hFrQnBklKBsHCn8Zs5e8NeI2+zL3VMl1J6othPyHeeNLuIz61Rn67bYfBf
UgO6nO5KlI7TwtIizexQx+gwLVVt+GkmyUIAVHnz4pVdeDGz12ZTPedtkLEB3HWykPFZ1NsPLF7l
175U1S1uKj2g2KBZO9tuoyPbPDBcmfYxId1T7ajD4yhhmj/0RpTjKczSd+g4MBYy7TdHq6qLW8pl
Hae8iHyXneRsSkqzqO8nicR9l005iIvJJgkpTJlem92Qn4th8s7HMO4uElHVuFISCoOV0VnNPoVp
M+O2THK03YOuH7qsqK6ZMDz4cwlvzkSrVAUck3Gb9GbDKboqbFB0aBkz9tmo178YaTvckbAebnU9
bO7hpS3SKZVfl3qZXcxger75wvauQ4BOV5FwNW1vGr31zVZd9TUzs0HstL5SLyXSkw9p20p3l1tu
6xy8pFHlfhqgdO0m3KfI+rBuxxRIH6TdGOnOq7BQ7dB66e+1thNPkVsUr2XUPgHYQoAr2ZH0Uw1r
yc0jYyTj3mS3sxqmT4X0Y3ffkjtV7KccZhhS7zMeBdJ64PGA4XEM4CGrumeDoTn1rF+kMUauQ9wZ
OvUGLF/vsNTZ1cGm6socEZVAZdB0XcYp69cB6yMMqRlzGVbVvsiRP7LYmBDk/F3tafp13wioH3wS
5jtduSTs3K6b9rbjRp9UizL4ELXygzDAuRwKHDznfdFW72NelHcmPCkeJQVC+ItF476yNRL9zk+K
6UsalQPJlbx20xOwA4uNlCmn6YyvOZVBaLBm7rpWYhRw/dL5qOBxImRky38Zhdbw6HTLyuY7QxDN
Gll7rTT8i8idPrdthovK5aHsOFoTJ+yRuAOKCYbp7KuGJZc89kgdx32J8jl/baMhJGXZ2ZgKJ6Qi
hnFld6QwWQtE6wSWcCAWItMfTXTdLQUPi//xYHR9r3b1JIzyWEcWfB1luFV3FHFC6kwaCPqlyM9d
kdiQlKJON+By4KfGM9d8aScX/soosGT1lG6myyzT8r0+dM6HuaHqQBGDw1vRhkV2AjZhvSI91C+n
VpQccOfJCKYez6qV9c4+x6Jw5uQUgfgky3NwCRTKXIppt45POpMapGI1kaH8MuMKYYtnau1z6sbF
YejZTVRx/Q0skX9pa8LHXGD5t8NsoQvktuXF1Mr2epqUdqBWyxl/ys6Eo2s7jWpfwNkGmy+n5vpb
4/XYY1FxJrexZ9/k1H0B+zTRQ1wUVrI3pQaQqzDi/oy6fXxWSvEJ/t/0XnNS8UVzSO0YpX41mUb1
qmwrfQRilOuneah8kr+i+eCzml9pUWW8yyG8vI8083dCjL9LXnywHL7Fwo0fXohFqPFGsRBnuost
qPGWMz3FU07Mty7muZscpADrNlvVGxBO6SOGd5bSXwsmxD/JJZCgUAU1XRPhzUrfM5ua4yVQx4LJ
ibob36nbU99Kqgg6ZXtrABeBSJeltdLT/nWYWVJapYqzus8wcPJmsxoluucVJDtrPdmj+5Vwuhzr
DPqGpN5sGrdlNAAyNQsHIiQr6nxqHVFdDCKdr7FBvpNmT6nCJjdoodQCwzRkM/MKO2DW+lwjsZ2Z
QTFmIGJRBx2ckLlMtUqwQ7EfRsXhwB4m47ZJnC9pWaFSd9HkNhoTflqVbrXjMIZUavSs3zw68+8y
Qt8nZ0uzAcskO+iuRGwFnxKPT7BbR0PJuUG/FQL8w16l03lpIFkaJrQZlk/d3ZjUdJlINZ35+ZFd
wKIxGMxDiEPD3WNyLr2dKpxj6lv9uQ4/aF+N2uWoK867ecYG2ErTEzZK9zfCnEVIulJbATOmoCW+
txOBpfnjp5ewltS93/qB3tYpRxy/nyFPzmN8OWvde2PsgU+yOO+nScYXkP7VVype6rzVF7UeCTfb
KDNCbNBJe6Db+M23+U8XJ6Akgyz2Uaaunm9EDs8xHLwSmUGiilIkUDIda8dvfsaAK/23h+CDc15C
gKndWP1OTcFYyLD2A8qfU8by7WqnYWgVhsh8sc10ZAgywBKlEZaHUPXO+4RNKDi6ocku0ez4N/nk
ZchmCJbaxozVWQoteBbO2lEk+kPdZfLp14/GWEsama91w7Z1pJPCI/ezkmk2eTOTkODb66XJpDBj
Y967OsnBNMxqEIGxePKzm0pPqpd8JntG/QeBeZ/HF5OYnANihunVTqF9fL+uP2XQt/8S6v2/y6+v
/92YZ62/fiu//p//j0TazNs+08PPRdo3r4mMP/27UcACAP/zn/zJKXf/YPFiF+05Olpoqg7/5pR7
xh8CDZKghis4ooiFiv4np9w0/7BdG/a84+os15iu/qPPNtw/PMM0HP6NsUxQ9n+FKnedvymTkeoi
ynR0vF9Cp4qzmid6p8FO2s1ndV4hcGJvy6SGgVG/jt02PrauBD1QG+HRL1C/Hs28CK+w5ednYT42
l5h2jSP2J3gNPcCieketUO1Ms3MVbIbBbQM+3/Z6NBIS5n7Vjceo6zwAmcnQXpT+1HyYE5gQOPhx
Hlp5DJQrbU/glbtjD9jy1DQRVGXhio6ja9f7B9SOaqG3maiHqkmgfKEw1JbnppeLywTSIY7pmnNB
qCztekihg8GZxmuwK/xR+xpKBUbCGwz/c+K33l7XB++6guZ4USlfp8wHMvPKAy3/LPWF5YhiEoBv
VrscTFpK3pJqpYoOPeahJwSDLwP46uukTR7Iksx7G3TPOfLS9hNUn/hSmE38Pmw7596ZRX6tJ6kZ
jGjAjkyx0DKnkj3tpGk70evnndbi9arK+ejz6I5GlMZwaOE46dBq3rcl/JHMhwpRjfmlGXXJPpLZ
qxnV9o6aTfI+9Gx8ZkadH223nz6S1nGuYhu27m7WNTJaiCLwhqVocy8yyCUzlWOLtVaqOsY5jFbn
UgNSAq8IXiDH2twwml09UqYEHux6j0Y067fOJMf3fk/d7xw/sUlaPY2am8waqfwyB8lPlRsPzfnA
QebSiSKTPEM1hDeVV1QG9VOPU3PRpqSphtrA8wk4OObY4+KEgvUT+Sh8Iiz1bMCFB+5clBdylOk+
xAplgkzxUP9FAA2Ss8XsQol4ORb60nyX9Fr6UeuVeRbKoQzKVKuWW+oReUS+91h30j7aSEDIrhf9
Tcdpj1fJAQfr9+jZHZ6mtr8ngx5Dn0ws81nZg/NU1UaLXnhojbtF7nvjmKIvDrDQq5MC6HEqfIHe
Y6Cw+tyRnP7c2El6R47JOloaeEDqJdMEU5NbwtqTG9XRnvIWpSXMgfexq7xT52ZwRbJoPCvIeuX7
MOurU1O7S5Yk7zgx35ttovb20J+5WvyEfHnETT/171THM6bYlL6MbqNu7Yrcgw1lfee15U03Gu+s
aYJipMb5DhAs7nW2S2eO1kKRMIrmGiCQVQS5bXdE9TTGmLLQ63C21EhQ1WzSqM35aTuT8hntg9D0
4SuA7JeOlOBV2ljl9dD4I+yMIcU9N7vNSVGSvqqmsboo54UA7ZlGeJNKCaiMHUh5CYawDc/MwQAL
0eqJe8exWT5RwYnpAwDn+lr6RvthNAUaFKNlPQVrgW7UrkM1ng+eKdU5UgAnOerUjKaPQucl3Uuv
GQ7SLqvX3B+QROyNxnHqK49vn2qx0ajEeNaieBzP49S1DWzEPUwDBHZIFiwnDP3vVZb0YE9Qzzu3
Yh82KAgjFwkWb2uvG/30GHucrTigF8+GOYriIq6SJkj0bDnzd7ZKz2AkkaBniqbE4doqf06ScQiU
32r2nsn+STX+cGVYnXynDVBy8ha44z4yHTfbefmov7pu6gZyDPPr1qyyMxBWgLy6NHR2lDItnOPj
9LmUofGSt2O+d1so5iNRxAxbA5VIuxqomIm3Lddnexr3uWiq16jvqrtZOOHXVENAmLlqfm2HsT+W
ps7ARphQ/skREY8BxR1bPiSk0bw9+jQv2nfIYMb3k2zAarqSI/KZ2/BXkVmR9l5UgcMxofLnnEJz
pN5QqKEgw1G4tXleKEsVEAmTASVQFs0PqRImR1p6J1hYUpejLikmjr0LhgksufSz69GuAGK5kXVW
c4QrSWhiQDDrsAqA1M973a94lXl0k1O2uGo9QMSaGEfAJCKad1SRiddB1hdwgWf8d8uRfRrH4jqC
X/NoJ0101X0/28/CrD+q7yf+NiMkdnIYa/vgqsa6jJA5zdRQljRB8T1lkH1PH6Bln77oollM9Nnk
f44bDV1MDSECf6OLMICKi06nAsedLZMUxES9kRO5YGcYQ9Uh9S5NjuSchy9DwFjJwVEqArLGBJ/c
uJXeXg5IcqvzdK7F+VCbYrhGpDWcLBv4kSG14rKCN3EaQnwpgFjGcZ+ie+ZUFHfv3VGhd81b/VPT
zfBEKUogaAxBVo6ZQP+mSY0cFhZw4BllTwrDnDPnUwvVPz9k9eg8t8pW/p4qXxqdsm7u46NqHKpO
C+V7Zs5Ou70+DdPXyPD1R9vohvvOjzBWV/3U3TuW7l82xPBu1Ezx3pCNeNakX1wyYYsLuZQ67LSN
DsMAIdLPEUYoJx52HgS1meSp2RGw3wtwr0VeiZQFh1otl4iS6l0CLl3bF7xKXJyUnqcz2ZI1DEQu
rG9snCZ1hmiomO6sSI8foVID6VJsui4zo3CiICEt85iOizzJ1Z2uvmgoeLRHkuHdjeZifiXHZvrP
dQ6oEdg3CA1qIY21oBl7Er4akGE6fLBf2+ELyWxg05IXjW0rLW4kktvu6AGHfkEDqd+0qdYB7rGU
Qz6HKjB7CGzoB93N1UsDmQ0r/awdqghKCT58W97LWWifPA+b3B4VgZscFYJbth/s5hG7UC+GMyqK
G+66uQhjatsnp9Zpi5DFSn6VEC8s2q0MkbejkC7cUzV1nCtbRUZj4dkgHYr1mAnbmQ0N4ndXDNfu
qNMpgMIlOs7INupXwzNt8JllX13IuEHiIIbmi6fr+anmxPFFiX6GDzKGHmggE4b+npVpPtZVg3A3
TfXohYR5e2WTLHjmBD4DeptIr/ZG9egNDaLwXCaRcaTqZF8WrUyPadHDHoyL8hXoc8hSFrYfZsrs
5y0GKgJLOerdmNV+sov1BchTQS8r0AaniEO9DDNCpprbNIHRC2sP8gIpUeTR9JZp1As+VNRwESc+
A3e3OXwAvQZHJ8uMNDpqnoguNeFFjzD24680AgV3FfZDXh0rVc3GPplLPr0xKhoUcS1ylgh8nLlr
pCAraFhkWEMThVavFGZ2CN27xorboHVQCNcNCDKtmObjPMUBG9JTpmek1rDOlmccvzAr6Ajnd9nY
VZQQB3RHCytNly5TYFJk8nlIfEriUQeDscgXfhRf5UUE1e7UwUe9qvpoeGggDFHfDYuDZYjxxW+c
nFpxqzefo7bwEgzKsfUFfhsCgv6INGF+iUPnK6htPM6OHp1kaEKs9uDDUgiA5LrzVeVUiIeLiYoa
Ja1gmiAKHTWKlR8MwWr0HDdATnfzaNm3Vu9453Mi06VLTJ43p6irMbIMvjIxTlKP+Ax0YGz2MxME
/NNKFYsUWuthj/j1Cem7te9YAwBKw3Ks/GR4CrtxSeXk5hBIhFEKJQNUqQUp3oA5nk6aLLwRzUGJ
EKI0/eHBy/ISbkrDRcMpLz67BpsEM8mEfSj6TIPlTdGMvYbD2KPX3jED0S1F6Racl4zC4q1eDz6q
PCPSDjRN8m+ztGzvddTVyPQcVAC7gRLWRydxUZ7KGl3tgQ3a9OJ5Y/1FRS7R4XZl418SeGwMEyqk
n3xHyQfYotaVEpZ5W4yGfMQVhaLSqhVEKyty6GVkRpO97xPND4RJvwC+niE+K2JdvYpu8pNTNSf0
NbJcMrt6hZJzR+nA85lxFzRlKruFIGzGpxzbSbTTpBt9ILnnQEkZStouqZwX2IGc+97Txvjke1Jd
GM5Abd4soBpM3rIFWzgO+7yYTbweOuW5HXtCzK7+JK+m0EER3VAT0MgsAE4P4lIUX5kk0k/4E9xr
WjKAGZjGpjzyzHRa1XjJuO874OSHMSnD8GCE1ZOklH1JsIp9kgwaZSfLuIC8NO7gi+AitBXlKxSq
BxokmMYhccFCoZ5OrRgs1hQ9pvhfXiO/JrTb2Mk+j5jyrtoaq/LOTbwR4opsjc+WSurDqMcRqh8q
t/XEuXEQ+HgrE743SttdM2fp0bfi/MZK5/K2cp2FHKBFzt6XORNLXaXnA8lm8NNa88mn4cEOVoL9
kdLU/HnMmwIclDdF15Nfpp9rE+DaPObRvSoMcj5hod8n9EcARska8q6v63AITIOuQntqPmBlCCyd
blW6jfw8adtLk7A4jsXQeZgXToPHpgDa4GTNOUYr7vvOpyfZvhI1iFsKHu7lFJUwMhQEwicZW/Fp
RIIbH1onn2MqMzJ+dayazWIVYgCx3QIrmjVHZ3ZRYr7ofHXrgKhbqPUayNA+v2e+aK4iqGA08xqM
jK0LOsJuYMGdMDo/mIN2AdKeExVqUjdlth19Ed031fz4Jv3xZ6LorQl7Sar9K330Z/czn/WVva9u
UTNd8qg/ZhRq2yZ/WMg5aLwaSrHnUpsZK0e7hFVIESX3w/L1179IB8XVL+Iwx1XtUDb3XWdJpLxN
s3sWr9LC3Qkh3kjv6mHu3onYMQ5zabgXyUxDFJRI8eHXP/r33L6rkx92EWfwvg1rySG/ye2biVHN
oZuhV4+j/Ip9TXcbhQN1d53WHNRh1RmHQOdc0kfr6/df/r9U3L+6wH5523z6bV7NMH6ZiPuhKeP3
doHL3/+TkkAWzjCQT5Afcuh/unwiw9elW6Dj/WGQKCcBZ/vkdHSLBNmfWTjL/QNvK00GcX1Tw/kO
UJAQPmkk6CwtBmnZSQbbFbT68/8rSsKPKV+mQBJYS7pvVR7CtcauJ/GdU2wcgH3L/r9y/P817vJ7
bz5N30x6RyJmP3Y2vSqwdUzTc2w6428M5D+77NWXn7o4yIaxdI8wj1qYQM6sRw8RSadvv46wHyeS
vy5/lZL0izmDaIPuEemanO9qA+kcqqSUkzz5VNJBwsLHefbrH/vZzSz50TfPSvLuU7itaMkWOhbO
SytqySw63sdfj//jHPXXzaxmQ9dvdDg5mBMUPKtrwxhEcT/oqe5cTZQfKBhTfW+BZDX1+1//4E9u
yFtNhrWn13Bt+cE+993xoopVqPaCZGpy/PUPLAP9Nc//547WPn4vmQe9UxZGtUy6w4UzWaG5rzNp
xld2FqfmtaEyRSsT2WDL2+lYUJsz0pj976o7P7nBNSQhb+GjgN12g1arqdN3bGB3keVFr7++vVUX
z7/ub3mTb74IVAMys+VkL2e0vtl7Ju52y/iGJK2hv0oTDWh6AKxqVxWS/exI7rpClKuhvCr+VXP5
KU7gJ3foLYHx5grw2hV9btPNkQSYvbfa6ptrD/9dDe6v21tNOhUTAXuTzj6yKXQ/6NWEcbtX6c2v
n97PLn3587eXjpfLkRZg+sxKkq8UPKurUsOfvd82/GrqqbTBRvVv28e8c/snY0AMO4ZQ87aNvpp4
2nxI69ps7CNMwZnOK6OGYdGpwWRsvPzVZGOOkeFBJGayqbDB7icHai25DiL18Os7+MnUueahFCCJ
6b4GY6OAWRy+Rw3UqCerwdeHF4pq+R29bi3n/Nc/9rN3vZraTLDhZSWhQkPvc51bpPZx91R0nfZt
0/juaiaTno5Qf7S9YKZDw3GKBEll/H3s5389/vLF/8NE5i47vDffql9lIldQ14KKNGBxRrafngOU
9o3kAOxQ+Bt/ZjWfWIIN/FBrSIM7NJun0qlKmt+U+AmPddIN42+K3j95G2vNQoNcNbQQFge1mc0P
GV3pbmDi+A/bntVq1hgyGO4DW6jApJnEMZeta6Fkm6rmObM9uoL8+ld+dg/Ln795IzEg98xza3BR
uZjOtWLWb/zIaPPdtuGtH4evwmTSeTgOso7GhF6ZjuLFmav6Nwvjz65+NX0oZH9gqRwn6HPeAK2E
cAspDe7ktqtfTR4qoX1rPkFWErLPeAeTN2o7qU9Avrf9wCqeMx+eLGlM1EqUisrz2rDL4UjJbh5u
N/3A+pzmmpMlDdDogS/j5Mn1pLwdkwi72rbhV4FGA1zgSbrtBrUlOgo7IKKhPgDK0LeFmLNal+ES
NCQBWzcALkbmXhZmD/ZBCRoQ//oOlpnnH2YkZxVlU5RGejHwiptwqttDGlmue1toc+9cIO0vsuMY
mVP5Iafl8keF+Kr8zUz+sz2Pswo8egqELjYJpsLcy+sLZNGhy8Eh89k1et2QUn8vu3Tu0cM7dXGW
jXPkHhwxWNV9r3eO+s39/ySCnFWAkp3S6LehhUHhagqr2OAGnpv/Tt61ojT9Z+vjrALU7ruRXuSN
H1g6hszjbIToDDB9zuTAfcudbiJZVN/QSg8FVkyvtN+NCMTwnkLKSz94SFrtjZ/qKpa9MrXrakhw
NbmhpOo9+1/rcRyabfMoGpEf5lFltJjqU0xTUT16LzbLzzuJz2DbPGcvX++bWbqxIqrsmgvpFhdm
uleGBzUDlPAkf/MZ/CQM7FUgy6SZbHNsvaCbhtCkGXPb6p/H2iAkYjNGi1EmqsaoPjt19KUucPps
fG6rALeGMuctU6eE9FCgw21MSZ9iJcBl/DrAf/KB26sAn8WcNcppXWputnGkq290QHytHbaNvopi
hz45ZdqMc4BdoQvmEvS5g/rvN5PEz659FZzwSWINMvQcpCasL5MmjgfsCL/jfP1s9FVsciypFhrh
HJicG3d6bDyXEWb3bQ9mFW7wWEpBZncOkHJ312pC0XjMm5hmkdvGX62ccaq62mqnOdDCwj836ZJI
rylPBJtGF6totureRhjB6F0IrHawKOrC9Uq2XfsaFueVmEF6l9eqdWYMahCPqwMsdtsHL1ahnOLs
1IdwSQYbSQ7hli5MvS3ms18/mSVs/mG9/C6BfjMTlaEdz5Q8h2DQ7K+cC7P+DJdXXQYdFqeNd7AK
WSw0OGAzcv9Ue/Eid3hoDFFl287Lizrw7VzalexVhhnxQiVsZ2kPpA7pVG6cbsQqZI0OX4A3pyqI
5CKPywv3uh7zjZe+ilhW0pCCq9XRajsNjX1rm/RGicfsd4n2n8wIYhW0lJtlps3kYWAojRdZF3VX
CnrbxqBahSz5Ua0H6tedQdAf5L1FE8f8xsb/H2/7bqxV1GZG0jdRvzSEjtS8z2r7ZfIhQP76w//J
s7FWS7CdapnwPKq/OOMxnkpF+Xoh4W0bfRW0Fh2UzTD1ep689tKabMDoHhgetg2+WmMzSiP4B5w/
Lx2RpEkzIGfrpa+j1fZC5cVGf/QHksbmMjrU/62jr6I10/s6zCWjj6kf75UHZsVx6Fu97cmsopXO
AKDUTJ3Rhfm1SQSK0CTamHpay8qBYuZeEjG4PysUgAC0OBo547a9wVJEeTuNjZ3lhvkEusvuaOwx
0vsFkErYbVuirFWsFpCQysrS1bHs0Z3gvf+q0tnY9tTNVZzKue3oxDaoY5EhSHWE/aKhvN84+CpO
9dBurSnWuqOLYAyiTfJJKuRqm74XcxWmjfRHOLdKHVOHHi9OiipLtbRW3zb6Kk5dQEug6H0u3VfG
NWJc6zZ06XK9bfRVnAIfNkuqxyqYjRYA6EzbGPugdZont30z5ipUzWb0C1VHfTCJAi2JRr+LoB7M
7su261/FqpGEZgtgkpU1lPmFn0oDwVg6HbeNbv4YTqoNawshiQo63/popOadFNbdtqHXkSqnFL2i
1gVJrL1jenyZTHdjfm3NyfaTpHBB3tHTYIi9g4rthyqDMrLpwr97fd7u9TI0xb6nVKAl6N8RV165
ZqNv+9iNVZxSFh5qSePKY5mPr8lkPJt2cbntuldR6qEh0Vivp4BhZYfqRsbObpJWtG3qXXuc+shW
cSbaLgBfrn8QHfPATiazsW2n8d1n9uaxqyY39TysVFBULTDP0f2MZzDc+NhXQRrib3b7BEoGoMYJ
QVzNpWe/q7wug/zD4WARA7xdk7D3iqTWii6o2s6n0U5kXGPYr5+3vdZViJqd2YHJSvgcY2AP4Mg+
wHDe+EpXMTqLyqeTTKaC1gYrZnjjS95423Kw3zOAb96nGMQ4JBZja6l8EIpOA0Jeb3ok+molxe0R
Ar+ivbUe4nCndc1VMv+WA/6Tt6mvItSg+bU7a/RQdnT/hp5SL1475dumFn0Volg2emZznkkel3fV
wjgr4m0zub5aRUU9TNZI0vtYzT2MN/NS2NtWUH21gtaTDZ+55mznFDSErUbkYeG2Oqi+Cssk78ZY
KS66Lh7nHgqF+7TtC1mFZI61BMwAL1HE2ed29O+82dk2T+mreFRNn43T4HQBqmTjYZ46M8B3Lg/b
LnwVkVYZAiNM/C6QGrV+s8xOsKI/bBt7tbvN8kTauFc1WBbsbjXd+SR8a9vCJvxVTPJhNw26RzCC
iTPubDq3H3wfb8CWS8fF+OMU68ne7YTda8fGuW+rg4cSY9vAq4iMwdOLJp66QHmoLQZoANh6nIdt
g69icqBATnfMUAIuqk8DhrZDY6Xdpi+FHjQ/PhIs9DrUBQb3cqTUqv6SgGvf+FRWcQlDZNIbz5eY
Gqxbm7FH1W8dexWaxpC4NJqkH9VsWvqV8qL0AkCHs/GprKIzlqLP2c/yodhYTWBVPuZOvGmDhS32
xycO4F0MmU/kj9bUpXivQrj1JjugZNPUIvxVgNZDIWicQwxFov4E9vqZ4sPjpk9xLdbq6aLcOhbP
BYOQfYB+m+wA7bqb9hEkhH58Mm3cu+SjRy6czpiq0i/GHgPUtitfRWhauJAvYksGXmZd5wgO6X7p
mtue+FoAtcAXHV/1XaDX+R193vZpG2/apEBHWD0TWysnwCoyAB5p7gfYgHtDpN+2PZRVgE5UFKRX
dBIFgPMSyfEice37bUOv4nNsuzDzoKwEk5EPu7xyGxjA6TbpgvBW8VnZ4E979DUBJSS6/c4VZHQs
stsufRWg9GMCuGYMbVChT8GAp1rtUusBtWwbfhWeg2YxK8KjCcx+epXs4Ebpfd409FqB1LHwxLVT
ySBzovdjXZ/rRbHtO1yLj8DqZADIaTI990sHhCEyD1peftl23avgpAtAKNsxkwFc0n0mpneF97tt
5xInfz9VibXMaNDIB/c1xv4YFpvatXgurhunpqdjaqppv+36V0FqZyXs08pugzyxPuYxHsM6e9g2
9CpERySJueOGgAnMXp4Wo8nO6MW2Uh3gvR9nF8AmdN2xaNSA6vW56OGeC61+2nblqxiNgV1mLUCC
AJ+tGKA7qwkotZfjzNn2A6s4FXEUecqD3TaP2l1SmA9Js+0sLtxVjOaJ3XBgZuhw8u86nWZHlrOp
DPWdovH2mJ97E76XfqI1WFiYtGgxuzsjGpJNUlyQNT++UNPtdbsH0BWE+gy1tW0gd21UdAlnFabF
GGrdCD4yKHuo4nrvnjUYjrbNumuxUgeiSwmfR870eNnT8iW3x20xtJYp+QOtpVNQknT9irBHzdOl
34K02PQVrqVIPl+JPppZGxhVf2sZzVWrdxuvexWdbUJ1whm0JpCO9wyg/C7Pmk2HOLGWFoUgArKo
TtvAWbBVPirxXTMV3rb58DvE5U3SprPAOKSV31C3iZt9a2Z3SvO3bUHXcnpd55xV2rRBiRKrSHcD
iYqj0jVn24NZS5EAWCIbSyfihrbae085zvs80edtb3QtRaLFvRMihqOHi9+ae0OKd6yk26rnYi1D
UloJXnGs+FwqXG4Zc+2UScixPozETd+67fw4u6CfBSM70ugliuLB3Zckz3DpimZbHUGs5UZTppTX
FmEdeDBvm30/1MU3GnEAZ952/eLH6zdAT4nB12raZ020GYsceLAytredAuxVuAIFHj291+tA5Y65
1x2E3xan343Xbv547V2OiwR+bh1I4UagAmcz+5RNYxltHH+1mo5J64De4NmAlql2wE0fx9zYtubZ
6+XUrIYCpgHPHWDvaZK6PMPeHp82vdW13qi3APvWNDQK0tCen3WY+CfhelhRtw2/WlIt5knbnHit
tOhq5Bk4HDqf0aHHaTb+wGpZpRiXVWXd8+QtOZy3rfcYN/m23Dzskh8/G9zoJiLgtg5gUt2Dr74b
su5+24NZ7XqjcBqsPI+Appf+R7oy0jGcRpgbH8oqVBtS5p6mijqw2tT7iBN5PKms6Dd+MqtQ7XRt
BFpjVwGR6u8cpC87bdLc47YHY/74zOnwRo0eGGlg03F9B8ziIit/p2L6vgX9hwPNWmbUJCPyOs+s
gh4eE/j0osREDqJrzGjY6UfZqainAU+4zM8taWlO0MVxYz9gcXObW/J/sr33aUN0yqhLVqc0KwVt
TPKEZHwErwdU7izSpn0cGprv4PNvyuxTFcdas3fYWJoHwybXfnRrNapDbpAl2ztUqcdz1WheGpju
GIvzsErpwmiAT7I/aCh7JzpepdI9WO7ImP/L2bk1S4pqW/gXGaGgKK9qZq5c97qturwYXdXVoILi
DZRff0Z2xInY5enedcLXjmrThTCZTMYcn1M17NvEwCU8uRTgRGdNyOrLyWrafVtTmAe/zjFYht8n
4A6HS+YJt5cRDpDAS8w+OTWhhTVRhybntmBbKpY7EfVwZGQZPDiKcPDkA+DILreEjVdTT6O/hD3P
tjMMgGxc2jFG47uFBy9K2Epa0H2UgWd5aDmIE9lYg7Gg+3qMHgCZafhV0WiOLzD0Fq5I4DZ79T7Q
z2NngXGK4YQKCGUFiOAHFTV9eiwL2atf4FgDmyfP+wtHsS1PSPMoPUwSDk3PvfglxJ8GhI6BcVFv
4NnRh665rCC5HMz+9g31eo0XAJ1of2EAlKBkBY8IQfmxuLCXqdG42pAFK3ORTP+s4hZgyvrgoO8C
Pfg6sNkkeO9kqS4TV/dVEh2rbNJdiE8sZDURyl8XwvmaVwGHgz981g6OyS7Gj6EAQQs3jhdBYDO1
tsNfrBmPZax0F+Qb9ObaLg37y7It5hntX/AEobM+FofpLspLVodLByLOBWSs+DFG8o2+gmX+emyi
76I86ELWWmP7S5uJ5W3MBo+biA7Ih2OP32U1UVdHPqD4qEzoZD2RqQMpIQ2SdigP/cBe6jXrwVWB
nPsLLqr+cia+T4LpWMtF/Df9/D+OaGaBj+Cwpf1Fhhw6snlK4dpGeUP+OvbuuxlvkwFu/gsxYBtz
n+VpP1DcsWeEHNNixGQ36Z3pVBSuAglCCCO2JQVZFiDAgwkC2U17k7qq8QJbOO5oxgKKshsHyYWX
Y4Ozm/YAs25TUnc9OlGVumfUwtiRDSM7pu+P//aL/o+POzWdgJCpRyTrlvRedjT8hjPtdqwUTHbp
TbrqwesJ+SpKWStoXqCtpeGcHpz0u3MIAQSO17cA39RaFJMb4Ck/a31sze4lX9EYrcuKc/IFWDT6
U0Jt/tPrRR9TfsZ70VdCaNfIpjUXcAFscG3BICnCyrnkN3eH/9L4Fu+FX+gHrSqmsu7iVUTHj6at
LSxy0o6Y0k198BEdYc9BAA/6EllcywvBcRg9yyBJ+mNfP9otbDTSsnBpkH+6bZAZzMUaGFBoEMvV
+dDi2AvEGKxecWa5RaZqjqoHXQt4J2zDBrbKsR/YrW0fLiNaUgnQATSq4ebtGgAtmjYGc/vYD+yW
N5u8hgUufmBbYCsr/fIZ6v0fx56929PUrDd4KfnuYmC5VMAV8y/Yex598d3KFoOPpqmFdRNy27Mi
7T0h07ESwN89jv8RknQQhDd2FFpdYgvgWQDvRzSSvD82KLudeJZqFBGARpdqGbPTIgH30fDUPDZf
9joxl9YAL+CLXmr4TH/XjaM/xgDbzaF33wvFpiYGKqCLQE7XYOVasOoG8Rsvl9t8+4ej4l4nJlbc
M7Kx72DbSmCaf8Nkibp3xzaxvVTMtazObAt7XtpmvYBbczbcwywYcI5jA7NbpjFfe8q6UF/SpGuK
gWd3bRxtx5boXjI2gkksKl53Fx5L9ziNGrihubHv/vur317xnwZ+t0i5g/Wxi7C/Kx8PyJrDSfCT
CkFCPzEcjLpDORYcxX6tM8Ceo6rMPKqLH9PvOKg/6VR+/u9/wT9PHcp3IQwe37gaRDsWOgT7qoHX
5GJ/Ojoc8wagfDdAsOPuQGnt1IWbrEJ1Z8qumiXLoSVFYXb1i5K2Jw38pEe8PHClOONH4HfA8+FY
OKB7/Q4HKXJLJhQ7IjdHW9nVuPwFzrJr7KHDIjwAfn39zLrKII1QlwgonjITYfjao3nqUKxEAfrX
p2+sxoncAcorIgEb7CaMwmdCTLIcevt4L2yEi2eVMSrADF8oMIiYRc0t3sMfuTwyNWGK+esfoIN6
GkDWRsBMyIdlDt8LuP0fe/Ru5GFJMmfhiHdHyTcpQccDz2KJukMxh+61jR0iZNBCqnqK0rF6Dy99
86GTybEWO1i9/TosqgZOMySTuiUG2TujaXKZ6yQ7NOiU77I+g5JXWOnbgpUolfVD9g6+1vXBgdkd
5Ra4A4NKUyvIVuArBjdWM3z1ivf2N8//u1jxf+Mx3QvLGAxQVwYC6yVgSwLb4ijqlru6tcN4xkEM
Xvzw0mNTOSRq7R+DDaeCRwC5Bv0VPorxeWHEA2EVbDCm9QA1oOgYtO2L7hIg1vQwbHC4FbLy3/tq
q5dzZ7DnFrAIXX9QHccP1jTz/VYD+0Qr8B+4h0mFzGEMH/uPMkJ/y7v2ZiTxsQPCDcSiJY1ha63h
5y9DKD+fGyMDX+JfA3pMSdXbH0fmOqBBv84X6BoHcmtIBtI6ap4tb/kjqWEH+5sx/5cNZC+J64M2
6VEdbS9kDX8yMrzjkXg99ua7bQ9nzU0HzLUX6qGzVcCmkn76ndPFbc7901TZbXzLEmjhp7W9DAZm
Gtdx8sqVsKKVI7yDLRdXxpmShwpU8Ov79RtEA09YbGHyC2IlO8WtU2dvlPh0bJzIr0+XW7XgjEjb
i+3h5hxU/vPckN+N022w/2mcdlE4CsXfptbthaml/gBVdfySSbH+sTZR8Jvi4L/9xC4ahxVPBTHA
S08rbRlAfsM41LkFYtdfa4eOtt8cqv/lk+9Vc5AniMUyJU6intv2vCQr3KObQJ1q7YH0haL7WFUJ
Xqy/fhEhUTupgLK7sI4EELqxzwhEB3OqdLegAxiOoBDQtZcI13EzdeeZRu//+0z6ly+xF9GlFFpO
2NLyshVDOl+5mpJzn3Hc+zNhVXhIXUDT26//xxExwbNZXacBbDrg9Ided/EFqOZjra3w+v316dPG
h7rexuaSpiA9QnMNc3oZHTusgJ/369MB6MRRfInkpY6z+GwAwS0zXh86x9F0t5BDBgtklSp4Wdv6
PoRBdtyzg2O+W8YbDdXUz3i09/Gp4sNZ1+Ty3yfNv+wAew0d3Nz7GuAMkL5r8pAmwcPAjlXx4HD/
62hDVngzwgXI2jRuuAe+Zb4ECf1w6L33EroqSaXdKAjCbSSmkzFjnG9AQ5yPPX23SkPejlUSBvUl
rSfzANXr50Fsx8xh6V5DJwAjhT3/Ul/URtR54XN3Fw7qmBSV7mV0wbbi3lCP9aVumqE0MnsM0nE6
HRuX3fJcm3BYJtrzctZxvZ4JcZ8MACjHiop079QlwdYYVNzxsrPDc6v6SzP2xzbxvZRuA7dHaIFE
CoT7Gmz2Liy8Sn4Tef9lEe2VdBbqfI8OPyyiyfbwxB8Lw+AofGzMdxush0nPZIH2RNeShvm7ADwj
r8aOHxOk3dBvvwR0DnxDnLYJR6NV7wkwQtX40K8tAPCH3n+vpltYV3Vg/vBSO49rz3dQAfxmZHZ0
w/+1XqN7LV0MMgnMqYS8RBuA2g8haKFoMBIw2/wIp6T+UoOtTfN0sDo5MVTXXDHMbWJhYWnYBr4r
D4eTN5Egf+g0IfZSZbROD1Xg6Z7SqvhMPc2S6VSn63hOqhmmv0F77F6N7h1+qCMgALTzdKKA/kBl
MX9ES+X6m3H9l+m8N/hZQF6p4Gk1nTag7nOwSMYibQ/Gp5j8Ot2SdmEBHex08hoWDW7e/gpHeax/
iO5lN4E3eqgUXU4CivmSOymLkKB969BM3ksmPKTPVQ3aLYQ15Puk6QctybGWSrpXTEiNE3tv4uVU
h2OYr4ZUp6qCdObQm+8loWswRDCBmW/lpHEWgCKG2XKSgBF15bEf2GWFXV3PLItkWq5gb2C33Bog
xmXCIvrj2A/sdp5xbhcP+OxyWoCBPuksdqXh8aFrD7rXhOL8kFBDNRCJNxM6lwywDYjTQ2J/wJh+
nfAmtaDFAml/siAVA2gUDyAJgnR4bFx2qWEsgSqrl245kSYyBQWrKEfF9vuxh++2nr7NgHKiFbCZ
RIJwGQToJlzj8FiStVeECgifwzig86mHzCvv21E8q5TOb4fefe9AB5SioREb5lPAcQUXt16c6i05
NjB7A7p6dFEPVcB8gqMpee1Am/7OQp8ey8n3alCfSDfMC0Jk1zFgNtsF9kRx9TsLnn85Ju5dvlTU
DqTtaXZmlUrsqwT/Up83RtR4jkeDXfDQ+O/FVJWlVRw1CGgJyYLSkkQU3bocE1NReqsS/Mcp1Mgq
nWeGpwvR1WUGJVXB++3PY6++C2Ztgy8APeN4MqvZiloPTTnp6lis2YupuInDWSfJeLLtYgFxykgO
h2F/LNjs+TGbxnHDj248zdKrczS1n3zUJAc/6S6Sealj36PWczKZBIZcrU0BSeox2T9u9X/9pF26
pXOaVeYU6GAsQDHscmq2Y85N6ID+9elVHCtgfJg51fMgC58Aj5rBWv7Y9rfXgC3RhpLzKLIziG3+
ow/N+taA5Xhs996rwCrqXLRArHxKxgj9KLcYb0j0uxrhbQf9hxrh3vALhBuUqzfOz3GA0rkNfvSq
+3hoIe3VXy14ThUAF+kZPl+Vyq2HwG+W6/Tl2ON36zRSPe19OPJzYnQHDWsDMt8ji1SXHVure7sv
M2ULEifDz3wC75WTexUe3Pz24i8YcQ3zRvBoDa60v+khumOCRLpXfgGgUFcyHfjZ36yPWhfFRSwz
dyzhILtl2oRKzn7r4xIuXHfdaF5DdsxNkO5lX2ECURHVOi4Z5A9NFzzGXf3u0FT5P5Iv2AjJkXZx
SRhAbJfYKPRdS6eXT8eev6sZdyYC0XLp03MMxC48zuMpvr+16v3OT/BWePqHRbrXc4FVZ+LMVeys
TTDdzZW1+nlKQyFO6FNNq6vQ3smn2Vf/j8P136eDf/rR3SabbqTqbDMonBRW161FpGpFzAksRB+q
s6zWVuVDr8GTyTs6YG9fm23s0muvDJP6jIN10+pc+dZuV1ltQfUHpQ6yuy6EpLXNabN553IceMzw
2LIoM092qlzErmsQp0Obj16JoM5Dymsq8nFODQ5FPcOnyxM+9OIPM0q9RHncprW+Ut/C7rnccKBP
RbkN1o3ggdNm/QALOWfrPGnB4IHN91av4O9FfAlYnIMWT4b2LjItgze9Rs1y1jn6CtSCF5zSvvtk
iEbu2KRN9pc2Gv95XIbYlgxyX5ovGKG2sNaR+uI3oEFHnJfp1P3Ro2ibLvk6RmHk8iRjQn7t6rjl
P7RYQOJBI6fvgY2H21ezfbmJ9O6M19sKVCWsCwvn6ilqyxSNk9XJ48qGnAJSrVNRZZhpvLDMbYku
ifVJ+BBllvFznSxeoy9s6Lc72Ph3RcqMZU9NuNRZGdbU0UKmbEAWlumszDQMcPMVFOyhg36z6aUo
Z44jVlqgQrKKHm82dGOag4eZom/E1pcqTpE2IpYwDT4kWhNknY8ZMrucR4HS5aI78m2YNSvd5lfA
X2u/gcM89kn77EeSsTc5kDR9pnNF6aOvZAbqvfLoUYnP3C0RHBE8A1P3CR0aGb6XqWuDlxOh52I5
h3A1Rjamw963dxujq/s+ZLruRdFbFIOvKTqQ+MdoTddpK1QXgyQmMiDKpxvgsnMBulg8RFtw0EkX
u5w2fEtgY4GO5p5cWdtlMm9Zy8+slV3Rs9XpEQfYLZjsLbO000O4TO3JjYhRz6wXS/NxXYn4G5jb
k+XcAHwNmrqQMYFLrNxUiRqHzL5mM+36B756FIFkEi7rmDszo5if8yxJCTKoeQYQsOAJpc27qM1G
dobBSrs+dOCbo6odzvBW87hmnq1A7xb4uCDBaslgshaq5TtRAXpmRpvG5kOa6CgrZTUlzXfUQTKF
RaPj3pZTk/TTc7uEgn2EPGvQ52ZL0SbE+7BP7n0SkPYxkq71f9ad6hd0zIxBHz8PWLTy1Bm5kavR
UTN8loHOQoLw1gqW5KmOuXkO57mNvsdNVWVbXgmuxcU5a5P7cKzj/kvjGOCl8LwP0Y0uHI04rJ0T
pn5UsxOtyNuhzb4nlA3mM7rLAanE7RL2LrRK9NsTVH1Thv+5D+IffTNaf9XEbNvH1odRVBiJlfSj
iTHN70RL/PPMQ3EOyZA1L9m4pOwUZrWR74dWrv7VoUeCBLiJhm9AVt6ciG8cxbnr/mpxcyMfGjbQ
7dL3jaouAwFA/mEZeEqKJqYx+ZoxEvM/I9dWz2ghD+5xjeR/oDtE541LRClgEBSAZeozdw/Ig/V3
MA+iX8ALjXlpFDod36WbVN1zJIBLv7q+XkDKHWSz3vFtDNklZWsbfg4ZqNvv5cCFKcw2B/BEbEI+
oQ9FM4D8rJ+S8WkK/RxeqWFGfQJZo+pfloSn8hzKtk/LeW0sYqdLslGeoZ+OxqeBW/ZDwROgKypU
adyLXMMRoUT2qzuxpJ/B1g5xW2Uf2gYGx+dKLAYdKkFqxUcJrHp81cYYls9VMLLvUvLGFKKb2rnJ
sy6qQsCBYrpeJ/A553J2JAzKeepIlHfKO/OVzhxvUCahiGBnuOIt6kBMgC6vwdSdupslD8i5CN/P
g0Nj2ikxo/tGgAtn4J+JDr6cQEGwJ6RL4meFJZwWjZJEF0y7pP+8DeAzwuAI4ON6AsLd+/rqZnTJ
ftzApxurXA5zuiLee+P6Pm9mbNMuR8XbTj/cYmnyBkbGiA2hhVsNf6/wlNuHNPMyngBxxE3nqQMH
N8nR+9klF8UjoJatFVRtuYjmzD+4dRKoYK5AP/G7sNqQI6KTTcrrBAwaiLhjXQcfAAkeSSljtgTl
FNqIl+nmffM2hp42d3b2jl8W3QdVOThSbY8UdK3XMJqa+gOqyGRr81qpmZ/hGi/me97iBPO8oQqR
neO2xn43V1UyQOcdy/VRi7Bpi96P0VzEZkwD9C2MU1U7dM/5KXo/h61GM0YXz/NrvYYpuetxZdw8
93C6q4fcbjEIN/AVzwc38ugaUT7NL8k0BN0fpF4z9cgUnTDHOqmV/JOqzGMmaFi2TadeZLU94y9b
m1Oi23j6xForq/tJ1A29oomWqadlJIBinRCOFCvBMqLVTw+rZHiaT7JJ7qa+FgLaZjQxYY5k8FG6
l828mTvTaArNMIGGODxNBtTD3M5bRz7gN7M3G8l5/aZgGo+edE5kHxcD7BdFESA+VcVamfVDQ9hM
7zIwgrM86TqIVbUdgSbfzDKD+Tb2gKObwKZRgQuFTL7idZPkZXWbqO+CjsS4OaqrNlg+au377h7S
XemRFXV+/YFdY+qAfa7DMHp3u6mhYUHlkPonH/JYA+at/VZdswafHkazDESwR4eAPLyAfjGN13CW
fL5bZ8ZB/kUwkPAEEBjGacpnjlUewq9O+EUUQ+227R3lq+I5SGMZO6exRnzLW+qa8SWco2z4w4+T
AY1czXZNrltMw/U5xuyXX5ppBSMGfyTtq5cWpXH3PmsxiPeeNONadnRJ5jvs/4ERGFyi7cn5NHUC
ydMMpi9Dkc6erWsD/SmNtlm/WoyZvR8aKPBeGlvLuogb2U9fVpOS5Ksm6ZbpHA5hYWcwUlSJPzt4
poavcK2P+R89nFfab4MaWoLzFQwRaaEb0qR3Op2nDfmbDDPW50OwbNgK1YrtA9keLGNZkNi0nGDS
0G+QjabBd7jKb3ERYlNvrn4Z2o/pgvl9akOnWFGvHvcvOu3izwmBLqKgW1Y1Bc6icQpkYZ8uF6LS
hNmcriG4zEYOEi3HEew7z4Y3qn+i2rhA5QwdWH80/TCv5ySqY/sSdeEI/13cs/KPcXbjclsFUs7r
QCT9ApA2rBGnuEIpIKuDmT1vnanSczg2jrzg/ol271WbTv4harqhR8CMsTYgi4dQLbu0MFEdnyqt
uFmLLI7F6wblS1CsrNb2/eTdgIZo9L0SV8DGsGqLlEe1eWkn1JhyqYUaTnRDX606o0UtOmUV7bpy
DCuCL1FLFT3Fi7mRXNl0S34yqH1BxeaZTUiplyGMlrz16/a5yRRck3Kv0fj30aC5jb6JifWPY7cg
4yqkaIIiauAKtxWI7jZPHaPzZ7LA9uBOMGew36driDSdooHXzPlG42C+1niF8N3Sd3NakIQNZbvJ
pbu0K5b61yQcnT2TtFWAc9MRlmdRXNOspApKzHyikT9zbEZuzsekaqbnBdIp3hWa6VQ9tlO1vWTb
DYDqR08fpixrw1MGgs2KbRQpRzn6GGHfKUC9ry3rkvnjoqrIvu/GJSpQlh7It01VzhaVk/Ed0jVg
LVt00fS4dcvHtZF3cjYw1ojRV43Nlhbez9zkPWBIrJzHkNwJ5AOfnU7pg4CVElD2vBmmQkaECXi2
GpL3fdyw+8yJ7c8Y3T/NE8HS0RffTJ4/DQEZX0MHi1ccgej8KFhGPHKnKB5fbWCgJJ/XtGBoI39C
CR3N2qCLUriRo5P3aRsz8ql3gTi1pGFtrvU6P9hW8Rfh4KBftpjGRbIuriCyqu/iOOaPCxPbvYhW
9W0TtvnAqRqLOmTvVDLqT0nDO56L0EyQnSyqbYd8DWvuplwg293OG/Bu2x2zRLyxaDX3c7NlvMR0
ZoX2i1/P3dgk9xvki/EnF2TpB6EcVAslmbs0uKt0ap3KK8zcDG3ymwz/rOdqmz8lCWNbbmu9ZpBy
RtZtZX3zA7iqbfWwTcnGaDMg6w7DRHCOqWnflILZKLi3UYyGZrRPu/B+lFHFn6dgneazRZ9/+OaZ
Avmeb7GdH5bYJOIbMlc9nJKZBOTO1KaOH5vVKtBYRWdV7iIzZm90USZ8GehCzQk2DVsHS4KJyWsf
WK6+BhIs4aZItjqpy3Bq5JwvSY1UlM9LWhejQo7i8ooGlKp8S7al/rFmCR0e7dpb/x1QKod0SM5Z
gtmtsLYSkzdoGGpOcNGpyGXMVN28WyOc/U99F1N9nlPEnRInGpFeh5v87jSkmtAXNNU0yQP0szQq
I74m/BqhbWr9q0Z/gH5ZpjkzYbFxYeX9NEw0ZDkMRTLcSPmGqO0djsYpwSkYkk3/ME1qQlyQXeqi
J6OxJD+0OKy6r23S8msM3jYOyNqlX6OJtsE3jTstHJPXPgGlEEVoWWB2IFnKq8Uiuk/jspZWizH7
zNDTP79lDrH9yzQNnDRlkg4B9quqSwL7gTnfrCIPCElpPs/VqAteUUWeJ5+t218x2v3Vn2ONbrZT
1gD1935TcuUwHEj68RWM56RdT52Fu+uF1wHpXxlWGSJiSMchQ3iSa4pioezQvn/X0FC6O9rKNtRl
7EekALlijAnYwPc4fyDja4Zis+aWiwDjMrt3zTyOwl14K9rxTU1Bb899E8z8Ok18SfDFPHdjORC1
2m8tT9CLxGTLp2+zawd7NiLUQcHbJXqoB1GxYsDd4/y4NU0s8EnSGs2AE6rsxWjsgKR0YLCTeVs8
XHJhBDBUj70gw8VVa/Z+oGSbkR0k3puXTSmVj+Bp5mgKEwsFXyxr+vPmsmQrBBCky9XTCQc0yZc0
n2bXByafl9lN79LIpfIvC7RJdvJtGMqSudu+mosJjIm7Cmn2Yw1rLsw6Gml6XzVgmj4YsfWfeYZB
KOk8x5HKwxq3zG+T8k2ALHULg8vqMa8vyAOi9H7GFtD84RytLzgCRPxrD4vzVBYJF2H93thESlhC
R5rVS45JltAiQ1TdcJoL0DjnUxnVz1njQl+MWPCf2ijRJ1XVrMNSq5b7PkQF4wn1Cpq8Zt3K2ntn
R/4dlZgvSD1mwoBUYZCA92DEkPcdEdU3+Fk0dSk0gmLdjO3TPIfIzDwMRtxVpZksjN8AHIGCPryr
05Gqp2Gmk3oaq2V6WIzpmz9AcJ5/BkM7TeW6BPiM8Zq+tUt8u9xpM+zta+zeGHKJuRR+QK4OXdO8
5sql+oxmZc7yxjiB3ACyBQvYXbaiXotIOKG+MzfPDoJ+IBKzW6UHjd/jW4tkLCcJFOhXlNL59EiH
bAheaQoRH0RBaSfs1TIhZoWPsmzhhI7uqqlPa0izJj01GavfiQFs+FOERoHhr9WS1haBROXqG+wO
QJAdk2yKT50kG8HUrMmHscZ55LJ1zZSTBgHU5HYZQbETZJE/skRP5I26Rdpi01OE004aK7vmjc1U
8LWuo+p7dktN7rIVXeafNmZ+zq2aY6S7fIiQzOq4Xe44mCBZwdmof/YJlmyeAdlRAAsSxifF4+zv
4l9LPQZhy07wt6xiHGUAVT+vJHXpFyMCjv7jmleoDAZcwxlpMrDiKJGUaHefsL7/odRKI8S5WDbd
G5zaeFOQUTp618zx9ieOzsI/jIpUP7VUnicAdG+WPGrp4uFTUIUs+RkBmZH8iaOlRGWkEckj78cW
sSOUW0FENLjXkVepQasR7pZiwUT4WgeMoZqN1CN8SBwMRc/cjoyU6+xDerLMTjZXelk/wBM5ij+b
kdt3QRBPn7MqjT7hun32l75Cv8Vd0ONgvCq92hOLMxj6+saazxjz9qGLWsjaWANCNjxO4v7aS86H
IjGddrkJqvYLOnXXfEjQJ2NM7NjDuJrgNWVufWLcy+zcV7AYOalkWy8DsBKXyKjwGoNjjJjX0elN
cpFsL0b06B62Fn4/eTIs1fzBLbB4/QYPDhzOps3F8gtKwzTNmd0wDsQ1DcICpxHtkXGk6D/OwvmT
XBmSRIpSghDIMpokgD1s6oNyhAw+OSWZQN3EgX8OTkk6+vpCTGjeYL/etO9J1qMJfAWB4X2NF8lp
bSOzFAjb2+zyEbUx+mJamcYFNXidT31fuf7cDFUjCxKnxn2/aV2vfae0fljT1Cv8RhtM79soduqF
itQhYdtqes4yE/R3kFCm7h1K0d0JYaLrzmOSNFNJpFUR5HIgt556FyKIwAfmHt8C5YjKJL3BcdtB
tGy3bX4/BbKxRZcskboPAqv9BfZj/s8gATYpV0BDPgjfr1g+VYbhaF14anm8FMMwu3vaR0g4Zd09
bEYm76FeHtAhAH9H1Dlg1EDjtPoSeMjJzxk6ZLZPqDOtFhvRFEZ/ztkoSAoGTutRHpjUYrprhxuK
+pv0w6QLfCk0vGetRGaOiKmsLuRQGfiXw7yIP8EiLUsL7phZrmsfD8DVg5sNdmllWVbnQQLbw7Pj
9LYIg8YKAbrigBMTgk9bNn7i7jqjKYPnpF9nhWWM+66fC/bO6mrGORSlhaN2CCWmJnH01sfI0Err
+CiLNLYMvT4z29q3msHppQzhN19/UShoxLnuFik/hatH9BBBwKJ7lkY6KTQnipQ9qmG26DuL0laO
vrxVlA36uMKX2Axj9g5AkNrmG1ygzWnZqqTPN+JjZDDcRPOPYARVIU/Q6sHfgWVj04vcjEt/MPxR
7vOEBJU9JlOk0iJWaUtelXAhTJMNDgWynrR+v6GBvz2TZgr1lidotrcoYMrOCxzUZ5QcMKlXJIXg
mlcDYNR8qp5kH9b+GsXh2j1xgzptzgx18Es3cvwZJrSWz8RXHaQgVdh2d0tmA/KKFrWUYU2N1Dvc
/3SbOYPf6MYzxEVGF7hVSZbvndNTAECin7NroFBO+RIqfftCDAefMhq5adD3hwOYfl5QP2wL9FfM
05LDcyj6H+7OZMluI0vTr1KmdUHlcMAxtFXmAsAdYx7IILmBBRlBzIBjHp6+vytldkq0UmaXrHvR
bdKCZMSdcB3u5/zTkVfCkYrmUg1GfczQWUxfZ7n6fRQ7TjwcZvbrOeqU1sWutCyvjSQTaYYiaLtq
Tfd0g6V/FdvEryG+LC/jwZiW1kR5mvnLOR6E64X4RBJfRSQxCG6oLK7gs6FCm+TsTIu1UbMM2j4C
EjSw9S21XQAOaxYB3rwtj1qWQbm3l9Fs391MFaVB72DagxUkFiEm33VRlfi5ChiygcO0ok60Q6Ps
/IMjtVyXU2F6lveRzOhquJ5p7RfNB8/s3KYGWazmTrlZubwYfBrfCFJzsJpxf0mzpiGdvG2yb8dL
B30VG02xUHyhlyVgao2T5G6tzJ5mpRsthxvcLsCs3BCuRdGtir7y62/ZSneNnGp1K/HeDZPRUgy4
ioapGbDbTkyrabpz7zejd6fYPBJKRS/f3ooUNuJLns9NsbcTuzZmrq62aoYlO132YFPucy9L37XV
XlMate+pttXsBYPpk9Y8u/boPZvgcxnjX8D/h69+Z4/FR22MjXHfJBA+D9OlUSWxYPVKGbpTS64x
tjndlae0gvdikdja2ncujY+zY47i2F5hSk3UHG5wSA2dbta5mRsJ5Qze1axhkq6prj3nmrLI7p/q
Mi+6s5tYc3MyRoaZf7GEiEXoXGq2/dhUxhiUrpyN60YQ8PRgjP2YsccRQx/6VMb1bh0rr7vN+gGj
S6WEOz1vJSqy0BM9JE9mlTURM11iDN88p9fxszX3bP418w3yaTsbG/O1KVnJNSxPs06slXqKGdSh
6S7DeFyb2reOHSj7fCgLZxMfQRWVOmcFTGCoRYUAYId1U3RexNrcwLYuiJqxbzspx9ByqtwIuOdu
HN2vNlyjIh5jL0yk1e0+M0z4HqeG4lmDkhFrXrC2i1ZRl7rKPg7L6G9HbS+GqIl0k/Pog+klzEpr
Rt/Mr5XZ9f1H1ZOq/u4m9lhdU9hm7r5U6eg/zTPUTFQmXp7gTkScep/VdelcxUlZF0+zx4W5WqVX
9GcxMlLnZuK9SkaOr5u6z0e3Ss5L3vnFBxq9LJ5CMVItt1HeeBWwtU1GWybCkZtZGyHZH86qI3hA
1/P3BdLgS4Sx+5kEQ9Gboe8TgFntKqigfjxRgHVc2MHNdXfPOV0DPCPGgUqjdvPXJ4vLjrnKV2mx
fYA9iZf9xJ2897fNvaaJdowracQ+hZ0jSK+TFxrPkweRO44+FLnbquutbDC5mnJths9zNvqEVhQj
0SH7IdHLmgbm7CgXjlMiuhJt702hA7DRf6kmIuvvG2IXerm/RL2aYBqLYvq6123+lId+Nc9FtFbd
ZaLc0Du3qovt+mRjLp+Pba1HK0qmVdfXsienBohUwLc2a+eO+wwQ3wyM3jSNPRzlkEWll/i0nbrt
NRWSVWXW6+Iy5v0q3pJ8eSSSwR7A3tO4296sWlnJV100ojwJC6vjSYD6tjcYtLvhuSSSmtqmVvZy
bdpGv35fW5Xr63VNjB6Ab5FeuPmUIwH48gi3kvU9Yr92sG9GUfVzOKwMDj11vIU8GjcpixBtvANn
btsXRePk7X3EpLflxGTgD2Iukv6mGzazPruMvdsu37Yb43Xwh5XR7b1r51+B+QwrypVn6J6wVvqZ
sK9Z7dWOyrrggGQjvbT5c6fnO9/oJitcDcPsuFm8tsMuodXlCvoauIpKolP+Xe9OpYGzO3Ozt/Fy
Pr65I0514g1UcmobfzUDwX5XPlldJwfuvURV7RBor8foD8TEoCg3FZmILKkM5DVW0sa3MnWHec82
ShbiVNbZ9D7ki16um82t1Eu3jI5N89Lm43ld3W158dxKT3eXDEfr2FdjHFSE3bQB1WhyAcv1MnHm
QmDee+vqu+c+xWlwC1FSkcFAbbwBbbUFqJVicKWthleMq60XYCyS825xdAFq17XpIzIJk4poYijz
Y46ykXORGRtkN/qTF/sfXS18xL21gM+aDnXctc0QZPj97KDx0BFYIdx3N74DJCWAtwA2YngFrdgy
I3AGytc8UOyyAxhi2eD2CAipp+/cL9hDGQ5UL7aTfsZhvY5dMM4MsWkP1TSoLA/nlvxw6lDhLMqM
OitFyhH9e98NxPMayjvAVFlDKFAE9YHhDW0cEpRsfbB4tHE1zWmiT356wX4T2u9FX/ZMO75rZN/t
QAu2EV2rERunf4/HRSxrb5dHgrqXJRJO3ozBtqbqDsKqHiMnxvz95xRMPw6fc1a7rpq6L3fC/5Tb
z8705/TMv7hUfqNJVaU1QdfwvFb26AFaZOpPWmh+HDrXEHjox5nr7jkmBSCSP4mbnt26/xce3j8I
rIIy+L06EihMDijSYCYM7r82bbLhqpqNhhjBvtMATnLKGQvg+q28X3qgWxqs3BBhYyx8T/9cQnVR
Ff1XaqMfhGUJFM2SGZ27b5hmWkYZPoIbxINtSL0G/QgX553++Sv9kZjqBy1o1/YsNTTFewIBWvdp
WJt4jHRCnRvNnEykk5JIUlKVLmv9L67wH4gsf0wnytGHcZpItXc8ZnIMxM7sWrDmf/GB/ujZf1Cf
aSb69W7qK5Qj1deiMz/Ono7/nPhUXC7ib1Y1ZXpb6SRW+5WxH0HaradsLK0/+eQ/KMwG0xzqZnTU
Hgx6B5GaBbEJ8vjPv+Y/uio/yEPjZcoG5WfOPhFGz5k+xYGZcvr/uWe/vOpvrosstIU6iOsit4ps
3sFnyuTWPP3zJ/+DFSqs3z+505nVrJec5ZK6vnzrwZTmUDirZK6QJysd6BE19hFfidJ/ajyf9WMi
TOols0uMkNozDlW92G3X3+Ym8Oo//0C/bK7/xd39Yx6Mm68WsFBi7yvPT0Gg/XqdIVf47301B+ej
TeXNv9S2WTuHTOfP+ZY9m6w0dYz7bEzpVZJ0x3TGt2WyGN0cDC4l2a/v7j++Lf8jeW/uf30f/V//
k79/azTNfpIOP/z1r89Nxf//eXnM//qd3z/ir4f35va1eu9//KXfPYbn/dvrRq/D6+/+sqMuH9aH
8b1bH9/7sRx+eX7e4eU3/3d/+G/vvzzL86rf//LT61uV1RFNT5d9G376249Ob3/5iezBi+r6P377
Cn/78eUj/OWnm9f0tXvt06F7/S8e9/7aD3/5yRM/+0L6QiA+wPDjemzN8/vlJ6782VGmiaYBBaMP
TMFr1Uw+Tf/yk5Q/C8k/eJ4lSaKxL6bYvhkvPzLVz46plI8CSkrHovv56e/v73ff0T++s3+rx+q+
yeqh59FCyd8dGTw3dn3bNdHJeQ45oj8mHzAiyFvg75bdOmBgOToXHm6ZLkK5LbW/JwVZfOFQub4V
Lf60dYGXTC2KoESYV77hGhlTxnIvKOpeNZ8q1C/+7TSKy2/UvfxmtY4pomyzTu5i07dT/BI9UbpJ
l5IRnJf6QaHweTFslSVPYkVn8UBmS9nDKpBUERIbN0/gqE5MH1XOXQcMon2acrKqC6BSdDnQ0hKs
1pcVyqSVGAc3bFSd3NdDYn4nr9qGViMBPWyL0T+1RWs8yiI15O1YbFMVIdyzIQwzsy3uLvX1NWZy
9KWqBP43624+Q2wgeOtUM8W3MYntgG4eSCPCD/mJnng1D7MhljFoXXkp+WK60wU2Gvp86ez82p4s
sw9rr0+rUBZL0kXN1NtkvSV5iuQBznvfsSJExO7kbuE85Vl+B7coSOpY5AcHnvHaENaa7Dd6r/Jo
sNMUZzDoEenBRUkQOK4Nr7ACJPdIiD37QQ5msdJu2yNAo0qjIfcSZJOJvHMJQrg2Oy+FDk30Z2ag
flP0JnlAGEwz0pNcnL6Q00PAseIFvl1mLzwbZ8CUdPcxnUBzUqWmLt8Qp+GBEon9WJCCkNzUSTzH
IUEpqJ9Qpln9qV43Y9nPjdNATTpCbTc2kLRxTlxTO6GYN9s40qrkL523zeOBweDxdBN3y+qHKst6
GXmc+Pf1sphzCHrY19cA4Aif4YyHOmgmbR7VgDgo7NcMSlXYRaqviqUi7pJwrpG59/VcH+XiDUME
iC6bXbJJ/jwwSmFFBpFm8X4tiokmcW36dQcNLc1dirlZBja973NPJHx5zBfL/qppAD9UwI2hk3Td
W9PH5nJm1cG6iipeYay6YVgiZTZovzoxnpKyHygFN3frQmEQr0KBHzvnPBfWV+2b43JMTXROu3RJ
+imCxeUbW0nlOgNf6inIyAW4ZrtKH7rMvXfrwvnQ94S6hkPcGqeEEA7UD7Mrgh5a+8Wrc/PRGNP+
y+avzpWviuPUSPph5A2efIo7+EFck9nA+KgucZ3AFEXThqPQ61NWW9sb9tntZrroRkL0fal5142J
i1KhKei0ZL3p6biJpLrxc78bjovdEP8s8qn6PBhbe+fnrmgjIFFgjZjwhyYkqMJ+blcAtEDIiiES
nuHhVCyKWl3bA4Fg1IuQ5WB+RmJejbRrS9AnlX3TaRP97Jw2a4nAvcq+oN6Sy47OmdVuJgZIkwaH
iZo2BbP0RPzR2BCcbi4y8mpp6jcQFiAwQP99EtvLiz9x27V97rkHE3T181om3Df6oshLmGUW2nbV
XNWinJ57BqWkQbmW7AUlOGtm29Z9BwPdBYx+zY/j1FQ70rCRNpDNL6tjS/DkB7Mq+ivIm+SLKmTq
77aBnJGHYsmwZLpWOsUHkPt5P8ok/Qpt1K5BjmVtChDgjiyPsn3OwINOy+baGTB3DQWYOjPhJ7Hr
lG9apd3ZAk2xQijr7eNoJvW3dmomH5mUtSQHilZPR1XhJqFbztPOnpL5Fgm7QWKxtPJgSppyftLk
CP2ixl7sCBEt0aSdX7VA/zLW5wkd7HhYVroaKjCh86iwbKcIt5i1GjKDqH8hVtm9qyfZhL6bGV/Q
4Lr1By/vDRHNhFOjCyp8EQHmkifncgx63ypjtcDoNusAFMjyTF9opsXXYSwRUskm39lZ0e39MW2j
tPccgy28sqLGzHhJItfao2NDyFDmkHsYoZYecIOsfv3cLKNlMxtSb7vJbuPHajXEc7IWXFFHzu60
q5GVzbvSzvMHMcYuaJmQE+osEELjykal9+pMcBzHhEz24sa24i30ErYccGur2mkJYkYaXjfex1mR
gPayzUVTspgD+0VGuh/DGliJiAzBVqCe5w/+urUb+5WZxUHPlc9IRLCdh3IBbAvLta7aEH+x1pGz
TrwRqVLIN8ZOcABsLuB8qkGaw9SggjhlnmRYr19lzq5mN/NBVbPlqhgycWQxb8ZprM3ktCyNzkJY
Fr8/SoOZFvuhVf4RaDh7cxa/fanHrnkwpiFDOdhm27eCYZ1d0LgKq8GSj14T8RJDFU5jDndS20Vx
7FXpIxyAkcMi4GzSDjwQkfu4lmMAglXl932xrRQInWW9EjHPQefVtX5eG6+/aQRsYeQUzDYEsGdr
9Zke4weTm1S3i9Nkj5aXTh/ntfHPxZr4Fl2ysT3mlcBUlXhAjTeFv63P0yY88sfyguMIXUSrj4sz
eu/ubK/HykrMW+RkUE6NMTdlgIthboMauIQJx5PrBWa2pPGdvebLerTHXPv3q+dMU2BAId0YVud/
dtSqHnJJRI+VZwstR/U4Vn6GdnAb0iiuzYysNZi1OJmMY56VIvDG5WuuS1A6zZ4pRV9YX4A+vTJM
5Oa9DNlofe81fVFqL81rYWyQlg0zr09iwarOHgMWR7Dz02rnI5jaCLa8ErcYTovMHo22ds9m6wp5
mKzaQbTopFFZ5l2A8SfJwhbzQDBuiV8GTF2GTWgVMc5uDAjfbnEXiEQ6j3ZpVMUXCJbk2pmKOXSa
dDsulQD71j4BfKmeLTO8CNEOedLAZXimHBiWksxXRjonCD6dedjVbra6OzPP3NupNbpvU2knbzDd
6ee0X58Nk4MV9UJiZ1AaXbPPFm1HWCjERunhonTt2Is6Kq9NTie7HpyvrZFqQURXKdGT5fnJtFd1
kF3sPdi0eyC9mflcOpb+osy0b26ZpDZ9dzy3nqkNClndOUPalVGaz4azV3IrwDDARHdYgRrz2NjF
8jWRif82Y3CbPkJS19nBaczmrVWW6B7mGJvMxdDv+me7gsK6znyTy5igFFwDmxiENyspEX/6NlT0
KRaljVSecg5awWwq/1zX1vTUCoiqKEOq+zT7fWOdmsWptkdUUI/Af0VzVh0TDgPLn9eH1bUIxLG2
9MYEhDlmiulPYbp0AzO4OLIGAq01xGy6NKFsY24TCnG041uXniov8c51bmTH2J+tO2ET1QtMOje7
YVnGEGlBufMFA4iCghrkrbOt5YOq3XTHMAAZueiZqKIb76Nh1PGKD0B4w8mDuahf1xpV5YGN1n9e
s9x+G5Fa6iCxu/oO7Uv7cVxQ9uYWKvizVazldS8btwwxCJgvUkAqO9Rqt/2gkoNfTgmGxapzqoOq
HBvoTy5WsKxat2QmaPsbB2QZcWR5BeMPDOtliPtX2bVxGqIFLAFO6fdhFdv2xcyUNnCPpS46Sky/
c2hka/2xTcbkGWbOI8XWQTYnqBef5rZclMdKbuWnDSVJ6Ldw4t8GxgExwtNmN44R51CTv5rL5oTj
mj7lhTRPhrTY+YdFWf65JRzWOYrNnLbrwiyLdV+VKG9vs2aycPDMhpsHhj1a2VHq3tn2/Kly2fPc
iewTs/aSfdaOet8TwbNcjZs3PKP8q1VIiqR8ynLkRhHC9gTBf6Efu7VPHln723GbNgwchccxz+Te
cbzPoEdDqB19RRiZtZcGVUFW2u+248gegrODBe+8XJ36vF/TFxBwREG+1DF6Qo2aLdgsgY4Qn+C9
PS8RifQ6WMYx27VOupxF5Tc7YGbI2h7d3DhnkKL9hnA/Ld3OD6xUqdt28YfHmYhERqjI7JPm2p7q
eukKiDcmux4zwzecCG9Dlu2Ek1pFaE+G8TkdMF2cc0OjYx2tyv0wW5Mjojq3TeTm3dR8E6XnMvCF
g/YWfpPmrHEvTsGeMTBP2brE5b7J/JyvUG2foeRxp/AunChHwmgi7K5Qu9iW7g+21S1fWpkMgnas
sO+y1BLPFLjssMwrpFgfu/QcW83yXsXtumcsUnnqzHjLjpPf2Dc0DV6Mlp50mbzRFpObaGciiozN
DZEVjl24FcvyZZFrrAMJlC75FuNdVQIlhnj3tiFwC6vId9zMaJ1mjJdfuX2d6x7NFdidKTjdJ7tO
jnGaljqa0nI/ixaVJVqI6k5iucBPyowhE/Y5xWxKRyzguDIjp6uivXFCmtyNNO5CflEDB1i4DSP9
KxI5O0FyWCI4jpG1rR+6uDftozEwq2SfISx/I8VVnSbEJp8rJjtEfaq6Y6HZ5jdpdXgzV4e9Bo/B
rqsRkFTIgPIA+wH+v3UZEXRV0um/2EYb3yXupA6O2aUfu8wrvQhxZ1rs47x0HrZuaPpz28hYRL0f
OzF+tJoZ4tXi5zAbCXN30ClT1yDOWO48DRQVws35b5lveU9Wn3xAOtWVgcodPyDgo2Lpbu7ecjPB
RHLhndce0wlYZX1CEarvIchFpDvHwSq0qrLckSzbP3Z4WAML/xmS5Trrv+VD6gx7X/pDd3QHtEe0
7MMbQ7Kmu6XLUf0z8NAtAtUkCYf0sopXe5hFVPI9fEeFtT1OKQc81ahzbY+p85DrBB1MGs83qIev
EtdXA0oN8C7kdBPx6863fqTgYbq0G2Synq+wIz5lshWHPi+peCfHetm29I3ltnCNMxWMTvZWorU+
9bFVRWXmcb1zKuTFdG7tytDnSvW8oanR9/DLHKA4xr5QUxAyzObnPNnFq5BKEbASKwr92oqIWql3
pt2oU1EL/UQAujjgFQW+9NOoaXrrYGa1+zaWhnmMRWdjZyuOW+3h73HGIo9I3qj3edVZT51prlfu
5omLWqG+Qr45v46djiM7LqoKifUqliMOBZT1bJLzt210yO+tC7MN+1h556FoKbrwH+YloyqN9lUV
jrfuNgfmeB2t7gi7Yu4Kx3IPOWrMo45X2v1JF/eoYNdbR9mqC9RcYtcBefQDbx629zXvIdUKKsiQ
sD3veUWtfr1KDb3f1zY9cemFsy5EJKnk30tj6Q7dJXeCw+RTCy1uBlujxpveYRMd4LryEDRZxYeq
8ZMjeeWHtvSKQ40/JTAtDfhROHr4QLnLgLdy7XW4/NJzLDqJ2l4V3z0r9U+qa7bHec23z2aZOI91
gx8ZVRbB3q201z6oIeJCpg4zgi5PD6pBACETRnSVpnM3YgvlAy2YoaSCWj5IrGR7a2ziMIGPvJ5K
+tPRtdtPOGCvsP7gdRLKVY/oM4djW3XLA2pNgCORMp+2qItPbWmJT7GodFSOXXc7W1hQ7HqVe31J
bi178psAexnas6p7Rt85OyQ32VkLGWDDHI/W4t4SVTuHduvaV6uSJoWUv0UkNbW7Wg6KHnnKrrs+
MXYTh/He8QXlHUOertmo8h23jPdSGy0JCEkHiVRb2ASkmTyvJKROh0xMyzOUJCMu+2ZgfaDdvvMS
13OCJHcwnpbGvGPHXYPGqsv9OiTteUMII68WM9fDDjTttMZp/9nIPfGsyBky6FW2/sNGRjNy0MJ6
aUlLPLhVIfhWN3HUDt9/VyfDzu3LPDm3y0wZMqdzNCmlqHO2wv261OWrY/BBlsYELxi26h0tZXxg
f2geW9zylEOxcVui+93Z8UxUMAfraFZ1lJQps+IU8gXckctj2pTurVbIqoKBdmAI/JT2JohnlV2R
51afXCQs72Kw7hGIzmG/GBsFWbzeO/bq7BZjYDIg41AwNk3gRwZjXjDmnJxlA5tam8356MhKfVa4
kUSfcpIkY3bltoM+rPQbO5xYdXYbL2r9umWl9aEoFvF97hiSN6KtvR9RdeaO2oZbbazFfJNOOqWm
NtJjtZXfWmXKfmdY/XKk9F6/p15e3Re9ksd2mtpdJyqwdUGSnj2u9X7yYOSDlehnKqlNJZJy2GUO
YpFn2xx6NC0PKCiQ+aja5ND7v0MY3GTfMJo334cfGYPfkQz/D9EKpjCxhV7y5f+YWXjuMj3+nlX4
x8N+JRZ8+bNlSQcCgX7as38JE/6VWPDNn00lfGljbXJMBodCaf6dWLB/vph/8N7yEHDQSxzO34gF
OAeOUWFjnvEkAnDGtPw3iIVfKIrfUNGuJxyL1HmekBpWsYH8QEnrujBYyuZ4RHG+hmMxSNrxi2m0
KukAlk9wItgkl7QMVV+sh60Z3hcpX9BnfsKJJh5j1C071c5vwwUrLC4hcAOYQIT0he1iaOunQov+
yp0odhpvraNtQoOE3PHB0UYRwbqnx7o3GAiT6FtXX2w0GY78tVGfGl+3e0IAHslvf690eX/ZktF/
KaB6H65+KwycZdYtXi5JaWG0X9KGIV1YHJfjsK5OwDVkZEiTTF+yHlB+w9BX5gA8A7a1oHKS+wTZ
VZQhnkE0tSacQ3l9rT3XuhpyeztrQzvXaR1TN2sMqDO6rPVj7CfPIite57T7VIgBS8o0rNuNgSIR
CmOJo6GhiMW1PwY5TQfoV34oLjMFNdaxkyzUuN84fiPGjhqISc1s8AN3XJc5yJU5fjdHvFxrgnuh
s9wHWCER+jrdpW1fHNA/VyH7fX3jMtM8xPEVf7VQswPEdQxX6xm91ZGlj4fPd09Q5PpMT+p8HZz1
S7dQBloVZ6uegRalX/InxD1fR8c3bmJnEid/1lilhjmPCI21b7aiG/eqat5zc5gPht+6d53I/f2c
AFmOOUAkpTbHoOvaO4zByFz8tju31SIfvX5706gzQ4Sj7d1MzMgnq1k/obpNQwbSQCL7uQiqXlzb
0D07fQmFx5OCPHcqv2e1Vxzdxv/CPPsigk/FBzCUKG5n0yWkrxLnxqWF4rfKoyAc5SpzS/BZ59kd
+vwM+UAvlizZcx93fVS4ktD2tkhu8jYpH+cBhyOtCsBp4Vu7OUv7EAnuBxcl1Y7EYnXDDPoX1qv/
viA83AkD5fAmmy6qhrTaTbp/jo34OQVkc5qlCsTWf8wJiogmMfmHvrYwWBv25xIFC56L/tFUetkV
g4uwL7d6rIXN8FEkU80S9R7Jo3rGQn5fWwZrlvs9nFIwjsvwWZ+MKuEfFkz38U1uybY7VNtgn+o4
wzqUrCQS2UiNdqYyjCjtivLO72W5a+xkPlWZqfcOa/AOWfB0jkGECI5IgU3SlO3MJ4Bk0Ijkcvp+
r+ysK1U3+WOf2yidNOiKofqPxE0vTxVG0vPseOIIcgWnYTsfTJGjp8ym6iMS1yzkq8I7rVayDYoc
zw9pM/HnrtHTLi5ke50NfXLeiDjAtjO5NoJchc5yjLv3BnlplDQ1x/+y+bdOZS8PyYLYVS82osmZ
yRZIEVG9e4AttFmRxzztAM4re5iJsQhW7Y13ImdeHobQ7duw+sds2NrAmd3m6IkclbbezIeYGSfR
aGS0baA6e7xPmqOc9JeJpJqoGOaLTFJ7oApYbkt6TCALsGrngjiML3B1zocxGd1jy3jBl1K4cWgI
N9+rSeSkq5PHgjRzvWpdlX3wM/J9kqZ1QAjUJh/LzTRu/YqBvxUj8F5I2X8RaTfsG4jHpE/qo+6X
ez1M8h2GbHrMZmeOGCfTbwF9Oy3N0mxnD/bE9Xv9ldSb+R2zX3XnIpw/wx7Nx2EA4bRxYoSGWxZ7
c0teCOvRt0bnodiuQJ3IskiEH/p1JUKs+g3RvO3Vgt6RO/eiiiTQkdjyKXWv7JJWat5ifR2bQ36X
osQLGzHimc2mQ4Vk84WyesTlUHW3Q7uOYUqcRzRmptxV/crlzLf8A4Rfscfxvz3G6fawqJrkHpIz
omads5POxwfOIcDxJm73Sqjka9dU29EsGRTIxN/dZtVL0Mh6uANeUpHnbRm6eQ9cRmbXi5cWj21i
Nw8qF6QwZHCmnXnBplxC+a3Fi6N1Q+3N2iXKwVDGGA1Gq6I486qD6IrummKPNo4UqQCruYgm12IX
zi5+p7SOGKNhhhDiD2Bn3zLprSH2P9gdH2/iIrS1K6Z8Di2gmt00XqCeuABoq+OP5IlwKl7egyyV
BRU8+8jbffniTdzNpZIOI03wOheENmHFmpSNcNRK5q9GQvMa5PXcPUvtfVd9flPNI7uvecQyemFf
vLsJTIxQATwwUe6l86Oc05FKsGAIs5E/uoupb1wkhB+BcpxdKxWl/JZ+rFCWKGMuI0xZXR06hv95
20DMWl+/NQsLyunLZ7JTyBdZ1jmqS3ELpnJT+XAKnHb5B+QX8jQyuDHsLt+0x0SYvTUBYJJDNBLT
UL/Vcvs6us2XyWUGTGBsFnnjEqzT7ekpVVFn5yVO7rO07W48Ju3hVpAPmemghkV1e/GtwBmPvY3t
uwYhzF1Up1PRPSdWMkRbn7QHZ2CqrwVYj1DvCb97EcUgQM6gvhKEcUQI8FaNgHvMZCRlxVJvvxRw
/6f1Mf//lbuOvCSu/XGte/Xa1Wh3it9paMxfH/Vrqet6VK2SE4GyVVKd/kZDY/9MAgj3tYWORiEM
RUn2t1LX9H62FRHmVLS8Ade1+NHfNTTmz8RDmb7PT2z+wACE/0ape8l4/4cqCwGNwjJEiWsh4nFw
vvyQAe/0ytBI2IYd9gJMN+sdns3vpkd7BRhnxMPD1BTfW3v4V1mfnssn+P0rEzgk/yd7Z9LcOJJu
2b/yVr1DmgNwwAHrHcGZlETNIW1gipDkmOf51/dhZFZZVpuVddemrRdvVbVIDUGRjs/vd++5pmMy
azsO/5artedvNjodOTafwazfuKHfUBWOI4CgiISS5QzsCi1B0T1eZ8nDg9Xt8jC11ZQdMiSx29hs
q2/p+PME5w30GqIPgzdzdHliurS41Mf41ddaY9EgejN7F5nVMBV6MURb2wmtIGroEV/cQR0N3eER
gZyxwIdDXc1mDYXbbe5GDaTGte1fidDFuk9BfJJoDDojIkpeFw9zTustD5ONa1jihGAjVhJV78FG
OxtWE5IRvCjDJCxmpreqxd+66qdkvCWQ+6R9j58XzlO7m4hj3M9OuUmr5JzYSXuTVrwUk7+YC4qa
AAwXpzFfPGIVCXKWdL94ZMjnTrVA4RCU9F2s/ObMo8WB7jGHK4skdb5iaoGvAUoA+kaiX+LR9B9c
+C6bcOHajh18Z45Wf0+0XK5D4kc/iObZOkgbaUDxSXky2oPh3Y045r/DyfLh05U48VCQOv+zq8bW
2jDEGGgsvniemPn4v7Cz3HVY2dFDS2I9w9M3p1jyLc1qME/ncecJLzpZtkCZdAzSExLehG047u0U
5/KOQFwcbbCTOJfa4DBmky7Occsuqa+m4jLpUffXKi8sNEutOiahHGGfmbrYlbKfzkPidXTphtT9
NczkmLCWUzEN1XNdeIpgZdUaek1OvHyxsPnAoWDhg25OgoGGBXT4i7aASbASTXMScHPfheuhqPNA
tpXfrQbwaHtXCBT3MhLLC9gD9BSy17rr2PKxPltVmTff8d+x37XGwvxyDOVghuqHYjPg97ngj2gp
HIY+4gT9tU7aMQGisEZmwvUYOIedHgQ2oVZY9k5GCt98qSvnhWFSLZslobuP2b9A3J46z7uindC1
S1XNhzBv1ZXL4TDE9lH3XhcWb6S0Fj+0KKOvkGn7F69M/NCmhX9H6QMqXj2z5N8wNkQ/8MWzco37
WBNivA7smO2Gi2v1/JTFisw91jS/C1DQ5DtF5+3RXRJ3CkI5ZOEqHhLmhcg25w3GaWubtNn8aJWL
/VCYHm6bkcXtsk7ya/SNdM30q85R61aJHqv7ITT999Yro1c0hQxpy2vKGz/LUlK2vnZfBiRRLoK9
OZHjiKePvOzaZ9wLGdNF0bgfdZzg1qsUd2bTbFwHkTRpRFCbtflltLH5CK8lfxmcJLx3J1v9IDyI
4SKyM5ht1siORsOUIPpoDinB0MLJH0u3lpt27l2e0bWu8lUITKVdt3af29s48rqE1x3xeu1OjDg6
AnixiYTl7cyIfDxQnMXk7sv9gBjJMOyiNGoemnGouQhokZ0WFDFzVaIgDquU8BUb02w07uZqJplr
pl76grEIR7EQJYYSt1DsqASxs7Xr2Pl+qa8xG9NIFDiUwQLPiH8fAwn8MD7xiZdcDMBcF6tTDuFo
31Hc6QpzvI9Lz37hT+qsSvpJQCJ4lbsJpds8QoyI1pJw+Maxnfw+w8eyWVgnuqvKneofdsuZzmEm
5rcRseSdw5y/qAdyKVq1ymTgkF7OWFQjZKRkqCq2TQZbFyZ2MXZcWCZ+U6Pqjr125wKoV+LDDBoK
joUBblm5xnow3I6dO75ksJGWYJEZwIFw8K1qjzPVeuO+NDiB7lFK2aIbgFzZFCc3MHn7C0GU6tmb
JwQAwkvK27BPlz/GfKk+a72wh8+jniM9Fj66YAdfaQmqLFocvBvNrA9maJCTVrad3ubcB6JLyWQW
baTr28fyehvatRkIu+NMFvG65OLiesOAHsMuqxPjY8TwFwaz5kqNLl2E27ZoEZ1HclFbaUOFXYNx
AKcJfcmQAW+cBrccl39CwSXeBwQJ4a/rsCQjBCix5T/BOhutpsbrUbcJUnkw5o4+cf+gsrzwhndS
864Gw7wx0ka99EmTH+k+S09LQliO55yb7d1o5gmaFv38CoKWQw9C2ngrO5gUmxyr0zOpcPBIQI3q
emU7Un2Whes+TtekVoynN8dsKdKKj5xqvud+wMSH2SHiUpsgMwh/vPXy0dzyDx3IXZX5a1Hq5qhT
r4yDRPHY0RS1YW4tllNuYSwwVI/KxUdvY/Obf4CLu+3HKFz1SmCSWhikfpIwyG4pqW/HDflEfEUp
VSxxQOWpEvtQzySt094LP4SeVc3CqkvnMxfGjPC6O0SvAm4Xf+grKCfwpsmDiWTyb5vCaP4BVNh9
4vityB9a7k6TNHoreT6fXQsxhIu+lb0BYfC5hLcLV0MtsINycWPrF1gkjP1VOwOc5MIgmvexd7qL
VMaAvB1aF6Fa5wsLghF4Ybw8O3yQfvmuEcqgE268ncpsZ8l4rgKv7FiUNlnXfC7xAN7RqVvlEJYE
BHD9o3EPkHX/WJZmf8DylWZn1G715pB2/2YNTsmLGdXIczgAACX1SQRWEIfARK/iMsmhBj0aej9m
jKkfPF3ie0TXCBUmhNvJkq+HArYuu8pgM41apu7AFOKflMMiJ2AnUG4CLEZyDaXHWU921vIhADk4
tUbyUZM9ui2H8nXIm2hdNOGEscWEsMT9FsJk22Ef6ztDDacZjebR5dJDzw7rUABQoUy2VQRNbp3z
Spi/jaY9UUEuqpb3q7Y6+1REroetS5m6wSyCJawm1X/upUmeFMtqOmFexdriZ3sleJttfKuFdWJa
DAlsAFT3zSYsqVd1r6C6ytjxHoTt6nDb/zbJeqlGIolYIfPptHExrkaAYrxpBsDB4EETnEG4pIzy
1A9Svo70T7GPNYuCQSjDmSsFj70GK3Wx8haPxyUPePO7ScOw5JzO9I+4KYYlMHo53QEuxfMrgPtu
onjW+UpFeNbPGHrnY1zHxs8wbsj8xg6WllXaeCKooOq9X8twUKB6jInacEs3sGkb/ZhGm1PgT0u4
uRjmY+FVUu71AHeGB9UyPo+wIngY/3YqzyGNMoi5VwdzytJE38y2sB/Eb49zhoCSrWLot03Q20V9
6FxLfeYhYZJJhoHnp9kat5of2FejtDPI6HWcLAiJxsLE1tC/t0rztlwNAiIfEGKUIb8IMbl1uK/n
qw1bOEHRwS0kzXfl+IE60J2Xb2VsYIEMYzDJS8UPuxq4+6uVW7uYunN7EKgSM62pU7HXGFWT1Zzg
/k4qw9iMeeFtyQlmG+WHkkfuEF7YLrPKVb23bL0m/wW413zlnWh/k3BNNqwDbT5hpfIvio3jOYkm
AuFzkqkHBJC43IjOjx6N2cxvrH7k9eND8QKgh+MKhsFS7Lw2mV9D6bVP7W8/e7w407zu8aib5OWr
/hvQSf9LRgNmN2yD+HJLOxRtkHO7+ba9lu32YiAkygqBflW2lrwZWzZPsQUCBMcd78JVGo9FtDb7
efyODTWtq6XGnrVwqKyqgnobfDFXg35IqRVDJY5sa9/jmCJtnk7zUV49/ctvez97XjawaRSV6KOz
HfEYK+rsloxZn69xICJaO03WbLTpxo8Yl4yHcgZjvShgOkvOPj0QdaM2o+WNQeknNtJJ3Y8CIolr
HNMsBH02zaSOeBO7/lMZDhRp2eHMJMiDMqvXusFkh+EVvAOcShf1BJWPCcmQMy+tkuWz2bGerwga
uJse2fgEfy8aNoBh/TZgTZG9gqjy2yOJ/+gL/y9pCkDmTEUFJcY5mAp8bzDvrPJF9Hb2NLbC+7Ry
Xe7BX07VoSfe/qPgZgynym6Sj0SWWmy5xjp345wSDraNAkKm9Tvjoa9xD5+AEd7EgsAKpBEWOhg5
TMA4sizr+8YbobR0OW/DVRMvDNg9gJqglY24WCquzVPmgWrYgqEUT+pqdoIG+VUs2cReBw0OD6Gp
Qnc15Eai946rMSc34FLKbmCEjDrgWscY/s2R5jbecGiT6aFLnObS2rpKcZ1CNMJpwDVvmCoUVJI1
h9HTThUYZfLpqlY0K2woECf8xrl3k+KEtRcmaF1CRIZ8PEXpc7S4+brj8rUB7bIrSNPu4tLo1my9
rdVouXctH4C72Ai9DW4b/HyZFNwbGD8aEh0ox6pLwaIsXCzwx66jPoNfPoxiS0w53hW1WdyPEuRn
PjflujOZGu2cLHjIj5lldi4xoLL55S6i5qubckrcO9t32i1FOfueB1uQMF/qNh0vhduIFwH6hWIe
9ibrvGlfi3AgpBPjCR3IFG3Ak8xbB5eOioxpZO3fuxgnJ/8QqlCGzCeWJuOC63jthzUeWDOlQghD
0LIRDZjlyMOsuwzNKIMy9MNg4fD+8lq1q+FEfFdzlF70gDbfDcUVRTZ4RxVZ9g+rdvWnxwM0ULxA
fZMRtO4kWSBg5GHkbPiOqXFZMIuoYCL+zcQbtdVTDtFmjzES899IMP3JziPjlIUsfgaC0nvlRsNz
RQ77PewFW2lLzMb30KuifbdTrkFXly24giL0xLJrknTEPCKtad3FGKuIW1bZp2F2zXk2MVuvhsjn
AZZMpmAaqNifbyFu4RABxkl9s/SSrenV/bZ3xoE7DhqtHyBHY+RwTCaFdXp9ZlZehe0HZwkHlYc1
I10zI7XH6vex0/GrvXWuxD069TFWqgl3QMjxby3O3sm5JkC8Q5MOrLKVKfDJ3u5XdmG67x2owK/K
wZQGMsJP57XXev7BH/zJ3+f12OrALiKG6NHO3C8PhPI6Rsk5tWM73mJ8xuYGfo7BtKep5RfocoRp
Ca/sHlmg3He9bT/ITgw5YHfBkUiD/bhGRNZEhaoW0DtGPGy6cRxyOU+ICVjEqyxxxi1U7UHhXpeb
HgHWLanljsUIXsjdf+uj/zcpQxMjKhHVf6+PHj/yvP+v//GRV//zv06kDfO4+Xva8K+v/0spdf9Q
sNukr2xTSud3GP2vtKH9B8t41n2I9/wPx8A/lVLb+cPkMDHZPysSsYis/1RKbesPSyHFcpoDOkbb
N/8TpRRp9F8Uy7/KJgV5i39VKkkSaLNn0bGjHJrBxbi6/CJBDXzUx8NtJVO33PghhxE38zFaVuj4
KVvSuj7NbJYOuPvq7Qzp5ZYQf8SYOKl1FhGjymxyOUYX6hwsszZLPrkgCcMWyOkY2i0NG93MIY9L
M2uj+XUiJbdT5O3Y3Ypoz96pvjN7K33VTdhQU1FGu9wcu2CE1Xryte8fioWNjR1fmSwFcZw8HiBA
QKH+8PzGPamY5xs4fKACa1zi7JcSCVklT/PtMDMFlNXo0tPIZvuxrAsIS8RDvTMkahIgULa6L0xT
NB8A7rSeusIoH7oZ3fVU0xhxusJozxUy2zb0ynDH/eBTJssSuJ7LLGQUqCgEtPAfwSSWuzJyw1+Z
kw7XmmPrVHPlXdPUsbwZLJkw94Dupk7IgeoUzU996itxajWOxcDPMOFvRP/n3JA7cCDZgkUWzy/C
FuHJSVT1kwa4YdW1lbH2tMGzqKvttc9j9atMivRVOXP1qmO/3wtZWT8UbikOI2yiPLVpBVhIl3RB
1cXNLw678Er/d61dpLxU4KxqncNoINmRMYiNJ8PI1XQDVizk6/rM/57NZdln08LlI86M5sRkU30Y
VZw6K0sOeBVyONWxYPfGUM13iauo0gHWRGAszWTsi8W28LO5JuYDd15H1//Sdq9IeB331gP6XP5d
j/wV1lZjVy9pLHF60ftd6efWvu5x88Gql9XiItUEmchzAmGpp+9yV9kHclTRxbFyeqUqRn3+3FCO
edmaEjtpH82XUF+jbU2SbSTf0ro0/IoffTJxfXK4Tq4L4DPNCsY80FWSLdtwUchyBT/lEEkDtzoI
3u8ZGQlBM/edbAOo/ar+8FaJUGpq6wHLQvjhC7T1lRNidsEfaG0WfKnMIP7su1ub0eMcIgGthSqb
+9KyiAMtMNviLRcLtodcBh9imelvB9c5qPey2szW9dbtlFzlcAo2Xb+qxgVCou9lfb9PPEN8kgad
P5ZoMZ+hEbJYRaa3vxE3PD7S2inr9bBAy0EZ8sQVNQhMig4AniM3+VAwQ2aprMijZIBiCRs7cu87
GL0xxitPXqJ4qeK1HBoNsSqhlwqoBlf5DVOk84iywbRiV8Z1deC0hbVJzNrL8P724gvOD2isLjbF
qqN4BpSsLlSxMkToHNnjaoS/7NpTME2/LDHIw2yWzi/JJLoXIuseJmbG89RrnuhmLdl4aJ+8mVdN
L2D69Ie0vfiQu016qGZAbo2FIR7ibXdVg33rMavanH/rwiwU5CPDCy9m1l0TRmO5/js9b2wWuJ2R
oR+R6Pq1NVT+V2OVVNZMHXBfYnbRz3hJRnSdZNi6ZIFul0qPQKla49gBNL0kvsOlR1M0QhuDOcv3
P/F7nbJxGuSLKM8Zf6T1mJf6nW+S75NIiAvkHclw5L9jMa02WYEJaQHkE3g97MgY6ui5m23n3ZOa
WETRw4VSLdowqVOSBpXi7ImjCuYpJWrxHAyW4xBgsYE32gjPa09d/2ody9sz5MeJmpnY20RNLqrN
VHnhX/S/xiBhDepOtdWGV0d8OJX0nwnsEvABAvxQLtn9XBRjoKcJXCpUeO4luLtWk9NXT2xf/BOG
rSnQUsa/SiuSx95Z5o0gc76zJdutIbFjNnEwUe2lTPdWTO8mlC/E2boe6YdQDRBxzvRiTtUarJNx
dPWEtUYjua/iSDY7Z2TqIxMT3xqceze5cE1sMEazjpxwWIuyaR8czvlLrYcQSaf0JsJ0KetlgOcX
t5fpkwm38stUhc+9IE6HTe9Z/mnJp2QvMNpSMORwxZDaOFZ+5OzlaMFUpmJkonJ8zJMbYExjujHt
cfkJnLXdQziKH3LuwYdx6u79pfThqyR8Zlckcq03ntv+CZxqi/eeKMA9Mc52NbSahEHti/zo0QZQ
3Mmwo1dvKqPvhBaMhz6xQzwC1xYqQ4z+Tz22yFhtIylZsZqPMc/d1x6075q9FPS4eM73UnYQdP0C
KldB6txkazGq+5ydwDlrFned2ct4HhpD3uLWRdiXiRketSZ/sCAKH3wrJpYbgQLojCvy0jG7bqtg
ADw4qs03TJ5oJX9HN6ph+SA4jKmvQ0EEXgZJn8jSNJ2jOGGLNocoFMKTZ0hywxsA7WQrpGC95ebO
bvBztkCgFiPE6xC+v2nK4lindnW7eC7GqYVc0Zc9lNfrDsdv2pJQDEh9LahhXvsrXPDxm0thbYex
No6Lt/RfuceRXJrt8NhoHkPgep10ZysiXKw50g8r9hGOC9/Sd/iiBCzJrIm3tQOOWSMBH3p2szwN
GPlPjPrmCcvZuPYN0e8qMok7kHecdIQ1Y/j+Oj2z/pugVUbuDuBtcmxdr+bV7OpnFPomICJk0SMz
h/t0KtuH0WmWLRlz9dQmPr2kw2jvF/Kxa48R9eQZ7i1pm+LQDgYk3AUs4EolrjqjAumf/2/H+P8P
OSDEjNms//sBnWPh419G8j+/4C/+h/cHaqEDTNESuA28a9v4nxO5x0ROj5nlwmFlM2Req+P+YdNV
fzjkVjAUmL7lWq7PHP0Pm678g6+AsWxjeLCVCQ3pP/AuYPn9l4lcSay+fIZ49zuOxCzh8C/9u4eg
HtwMVSm3d1VoyidynsuaKF1xhPDbrgdGld1Q529Rmk8rdE3vLVZ5ztbZ6Wsev30tdwWiCShWmb4m
URTfoui6N6Zf0KvH1Bmh/4OKJl3cuO6rtRCrWo0EFM9hGqHFpth4Dym+s532huXVt93yeylV90pq
S2Pisa3uzlXGdBGe5rRrhUGkAYLnKDzrODXQyNl51CfZFuVxNls+1n7RHTS2/2ltWkQRcfFZ8lTh
4Dwlmc+FIPZk8ZTG4SIOzHrGSST8oMCRyUDltju41Jbl4fNUJmDcHMM5uX45vBMRo3MsISUaB7Wa
4xd0XPEcOvPob2Hj8b2JpREBzRJYSTpbrE9fhxh4KfIrj00Lt9YBg4fhMwHCm/DpO4s8AbTcINmv
8lLlNIG4dnNvVLQgrfI+nu/pvkq2Q66Km8KT6cDh10cp7Dkn7/Ffzvh5s9h4gOzPgJnF4fhRmRSY
rVhQD8yKxlzfRlPKfqgWXl5tycIbLp0CQ3rfLvN8cCl/2vYzcbxVUQPETseUsjnMV2ea2JxDYpp6
WecSPnGuEn9v9QRfVpP9HXUZCyQ3ciB1Fpls9omR1lwUGEC9YOoEf92oh2ax4kiO32kkSg+kGWiJ
6cQ1RWmqR6cUajvYdvM5d1kc82qEwD+MxP5Vpeb4ZiL5HY0q0SeHa8k9YSPrmaBvc0MxQeLgDxTK
oLFUJMZmwhOQr1KZ6DbgMHN+70cJM03+HeV71YbEdKEZYmV+nIdC0YeZgDOH53K/OJU62QkhFdPt
nfc8GrKnnCaTRynI3+5LKxH38WL0pFEthwdP4kz+LQ/Z6K5yBb19KvW6G6fx7LNTK+vAShV7K0sN
lk/tYuUE03lJAZWm+d40/OQ+1j0DR8re/hyO7WMulvDdb4r0aKRSvqkm5yJpzNmeB6/Fy1Sa/m3T
80KtHAU5hrmZEFZQAIbE5ecnrI3dslXL1gxHHL94om3O9VaTRnZxlMTz0DwYJdY8b07IyMTG2qnq
96rKQwDEZc7MMxgvtWwmttvlEXaNsVV9eJ1Q5V2XYjRWDsWqPnbnsJGvIdGQvLfabVmqBjqCis6S
6P4nOORfptHUt8zDj3VTfftxGwahDdOY2x6OEgzQixzv8hq/CDMeLTdYesgzkAZl135HZpJ3PQny
yd2OlpUWYIlb9jtymlfkEJcd+3LVMUP0zrGBkTAKe+RAyCMunkuXnzFLsX5nnfJc+LK4MQTxFCDo
5S6TMFHvOzcMWZVg4Md9IUi7r7Qxee8sUNICIYsJhLerjn5h5RB0gXgWmJGSajj/6KG0Rzu758VZ
KYf02bbwRn5JvshB8cVMGPJJGHvjPDodxO3RU+lnbBeIhiblDbRpO7wtuomFnSN3XDLEBhnOPJhX
vg+CMIkmLXOCVUsYPite2qDvBg9NFvo1lNO8WacRhZhEAjRZraTrt6jCy03nxOLRS5rl3aOvyF5Z
cTOwH7bKA/iU9BKy3d5S4xB/V/EYdpCeqWrC3y7mLYr+tIltY5zwoVDTSby9f6vYhuzrlHaP1bCk
8X4Or5lhGr9YLrbKumlcUBh26sd7v9bND2k1Dm+HmQtVCPsyr8oOzEYxPIrMbH4YGPGPKq9nUNaJ
Uru2rzs+D7q9ABHp2XJXsv+piWdtbMvfL9o5mSkb6E6k2Y/G0u1J62nfE7p47Cv4CQkW/AcAuvrO
pa3vzjLSfAdvwr7UZCji7pAPw3wRXUz2WtnDs+/bwxYkZ0Hb4KTqw5JWxi07R1GduBDMdyMAZvZZ
nPABCCjzCKz+LfT97g3HS/pSx315w8uc3ufpIt9ZxLnpuoYDWwU1DNc7TeDiHNHqRqJWL+066Tv8
/V7nBy2OvBvIOcWyHq8XJOn3p2xeJGnjAfy3Qby0QRsHUJXxp1vGNNtmS748hgs2iiCkTOnV89nq
zxWExjyS9lFlVPWt+mypgtZNkk+qF/uDOZC9XeUw4x8BM/Auu/5s0n72pcO4stWYwvYWm+tfJknV
nUtmtyKza82oxUTdYRpMuKok/omzavGRowlnO6bDXVU1NbBxlpZY1caHyG/ZpXeGLncenU8HmBx6
F8qoCpies1ej6JfnDqflmSQ657upautYybDugwLb0kEL+7OdRbqG0pD+dCKvTjdLmVTPkznQpCkZ
PfBDc+07cxdMbiwPR+HVowXpPf+gaCTmbZwmt4ls9B1hcPZs4RJq0LcjFWeAhHEmMFLbxmbWRXmv
pGd2hxG8yVOJwcUCVZT3R9E27guZjOF5SszPhq3JsotDTHWUYdh3GN71l+o7zeXlan+brxADUJZS
ruTok7vIbOsladT4pDhqPsJJxRy6Fk6GFUIV5GWVONWzYiX6RRMbeU67vJpjYnoh4Nq+RYllufsm
qe27rq4A1HKIThp2LluC5LhUzvDDD/VPMNwY4FzvVFOiscmtYVlhZduzH3pkuYFDJinH4wxsFwdA
vRJJjSOjH5dDkQA+eqS8LTX2vR87p6lI3EdMQCGc5N6i8NmH/BAlDB3OkrY/qfu7pUWXPxRgsYMF
b3ZXJzxMuXkbCSFlnDWFY433bABa5j120BHpEFqHw/G5nMsM33+DsZ8CzAuGtek5pU0FyAsLvpQl
Z1C1mdyo0jGevEltJkmWhuYu734kSHTb4DGEJR4nr+Y8W4ehIbnVDEX1SZlVuhtTeis149aeKiH/
BzDn+S403fJzaC14YS0o9NVI3cxjIyEB9UnHYGK1e5Y50Tkq+3lLJWL97heULE1m6X7TfkGZaejc
VVYTn3KDx31h1SaW7nlADkw8i/7CAd7Xah6M+JSB1qa4uE2n7zAU43mZEw3vLueGNLsNB8k4lT8p
NrQ22Dapl6AvYjfmY3xxKb3dAj/ytwrA2nZBFr3pQ9/YFYjDgYkTDHPI9Jm7S3thm3sLBafbm1zF
17NJD7PX4VtQs5ue6w4nxNyPZ4bOeJ34hbzDh5btw4pjnRo0ua3slNBqfJ676Cfw+c/KRGHSmpwP
aVsEHx2rh5JSURs/pjC3UW2cOBPJrFgZVDlMglzqy3kq4kCAnWGMgJyBgwh4sz13xoMn8De8Yazy
1HEI24n61IoGe1xq8pshi+4QfHLmCw+pejeNnfmlnPGa4CXlUK8aL/U/h94zze3S8DRq5TA++pmj
aIDqlxvRGjepmTgPDJPzMfGBatmQc84tASGmOYqQ8PsnqEelNls2kY1jP+FU1Pu87QhZZ364Hrvk
ZDuVe8uJgKe6JpTsamvA/qptuBV8xdmCMNUGzJnLbdN5aLmVAKGO6w0PUGM1Zz6vTs/sRQUSYYPh
PjVq+jtnCCU3kmWgwJhXLBbtD1IQGUhNVA5wNY8LunS9qWDlvRVplJ9tsEeCWJfl3NolEwpmUGRo
htXcQuR0y0uKOdgN2rxled06Y7wEaY1DDtKcAOWVhhXeqjQyT+zQUOvZd1zxd4wYsm8PZZrlt4Og
zHfdtbgqSOfce1qQZpoUGmeQ4Kf7pE7F/Kmr3rtx/VS99VDjDp7nG/3KdWNIa3QdplEQFiCg6dUg
Jwq+firWRomBC5fy6D1RBEmjGlGVeTN5Cqted209rR06uFCR3LJq8KhH5HLmJGx2nFofgF9JPFtU
TkSejHYZ7J1girtdZOmLVTvftTnAwIBVdpiSsA3S3DiIKtoDt7hdCAiuBrcCg5Do7lGMDf2vNBnv
8KfBPBesGzKZ7ozrFUOpfM8LAfOwZMnNbMhvcnSd4lvMvCQx4UPLxQ/OH4LoucsjBy6bQely9Oo3
YxaAx37q6F5C0NXPBmMHpr9h3DZJx97cooR69G5sq63XuTD2dkzlJJeRn0aIpQhpnEaJK+YdxLcS
+r0rrZOGo7ByWnJkXa/cNf2Q8yoto+6g0nzZYNhjYe6GC9EfUGV2MXRBKnt+z6FoKRMcy2DMGuAy
WJgyLLZDvW77aN/5NcAGWdwtvQKJYOflxsX3fMNnTyL6EBHl0WPiqoKsteLeZB8TCj4fwgp+we8I
lq7xZdVkpHA5xOx2wbDYW4T1lKHUmIfdZDrhPc4eEycSdBs7MKBv1SuFU+7szn0SB33G6+s1maId
0qDRxpbDXhoqfOlNq//RJgUrAKLdXFiSzo1PE7Grar1YwwCSIMmpRtKV/4KZa/robB2egOSMzr7B
EcpA4/zAf9zrTUc8KgnMqzH5KGwzfnArPeUbjP9UMkxiWvHgEK+UHmePOOSrcWU00hU7I83ao1IK
UNbg0XUm1FC9IjI+2jNvRdF5T5TPOicOGJoY48rbTxnlrBWOqNodXcLAlAw4rb+pTDF8WTP1fUyn
wrvVve3tuWMV3XWDn73hu3GB9M81C7MmHN75ZBExdCqccHnOws+dXAh4PKqdmCscHD99TBaLpK+H
SrDy6FvbxFZTnUzNmc8pJMYXTWvKW0lB9S52ux5fqGrVs8fgIrFn5Rk4nMRO/+RT/3d+6P9A4SX3
bllKwhn/9wrc+iuL4n9Ziv/zi/7aiyu0Nlbc5F8hKv6ptf21F3f/oAbZ9n2F1PZXtugfKpz3h8dO
nLC8+RvPa/1NhSNcRILA9wUIXpPvaP0nKtxVzvuXIA8XTIgAUpJWk8hw3v8GVY8LB6upTzlh3FzP
tHqsu6cemuOPaOiGO3san3BUGQ+F3VFMQe1sdQK0i4QOLC5dO2OCBzdthg+6DeIDMYN+g8Tm4NvB
l29KZPaY2vb7yRXTA98e23kyVhdN1doXTSA/x7511+PiG5uaexDPBFleKn8Mn3jalWAqzfbVRkX5
KD2uRkgddOyEaXrBp/eQltlwyki3cyXGf24nrtgQnw0x9fsUMIAkwpTr/2B7hgAwYuQu0ppR2zDG
nSjwORH4j9dtW+Fa+V/sncduJMu6nV9FL5AbmRFphypvSRZ9c5Igm93pbUTap79f9jnSMRIudCcC
BGjS2L0Bks2qyojfrPWtqXkyCyx/sRor1ns6eKxHLAldp5snu7CNLfN9xCuYZhitaOdAlnSzx3k7
vIG4J/hahPlvMuzKSy+hbfou/hNyvfRXxwjlOe0EDLww5JqxXW5Ju0cPhp9iNCwOk9D6yFKC6Fym
mvj1/eAyWOMwrcVMps5a0cx/SIoWjE0B8tNVY/fmjwq+3MoMa6pVP7JIvmx75+roPnWoMzL/1Tdy
dY4b6CJr6QMCYd+AqWX1f3fW/v8qQUPaQKv/s/PgRZPR8d8e2s/vXyr+53Ph71/599G8/ZfPOQHp
goF6AN4X3cvfDwUPW6HEWhcASvXxGzIV//uhIM2/bI4RAXFDci4h3vnHaF7+xXjf5CuDAL2M6f6X
DoV/xdezPwuEgzsR0Y3J4WDJfxvMawB+LmPAfl9jF3tCcDvd429y67UMkvbLCObsjPuhqdf/9EI9
/M23+C9EcD7V/3YakWgFzsPyHdQouC7/fSXAcZD1sHD6vWt34S5pqcY/C4FnhI2fZRPuW1tUnUk7
dO85QWgzDWBVZ2vfyyXMQpTV7t7Ma0usFcGfP8IG9cFqsvBhs6qO9NpvZYNdHrgdxWOousMgQG0j
mKBgJ29II0SuMSJ+yaFZST215V5I6f0oliJkot9/Lf5UJqBd+9v0p17JltKFTLFl7FqHVDT9Utwg
cE0IGnf6jU9ioZ1UCdlrpLrOlOxz+ZU2xjrWEsEM8MiNCivIl61FpzKkt6DLvLcAzNUedUN6aYsa
S3CMqgq4ceSGL0ZPC72dIwOQkS/GNfTFX7TDtG04nMI+FUctxnQzDPGDH3cMvMcCb6RXAUi0yteE
CHIIV5x/+Aefep+6LAkEbkh27Q7au3VeVNCnAmnfl/Ww8YkQXAsJnDQamKYNbePs2N3naxQk5cqt
23TdjuKzNvJyhWDhbDp4rWImAWh7CbwBU7cQBBt0qdChgj3ANUyPDp4GFVfoKUM1gD7vmovZ1foI
XBTtdK66HbiRYlMhBiIgnVCtDiX3Wg+Jt818KTdqRAEBHpKCidwq1OrSOdpstJh70UNZbdedkHcD
VR2glxJJjM3BwWSdhWm3C+uoOMVF5u6RtIQkik/Jfl56hV4gRF4pK8pBExo2jS+tRmebxsYzXOMO
YXZ5tKomeZzmXGUbMsTtTcQ6hTMYs4peMW6UOAJ98ts3COHsYEN4GrrpQdrqk/aPjqmeJe97wn7p
R9TZ/pVtjvWF2rH41sx2PHzptcN0NR66x6jKLibuBkxIrZncpSJA/T81tAr0cYWs61M8FxUmIZiY
gK9ayJZMkOMZvtXSCkIBNNzFhOa662TpFou8R9yDFMVa7Ev0kwiHnDsyU2gyR0vml1wVFiV9nRd7
eE7+EwuolszKpUtt/jSszp/mFZuNfzXJExpWauluxdLn2lE8ReyH6xl1xdINqz+Ncbj0yEAK8QQ1
nhE+ToNvHpmdwhJ3l8565oEiz2+goI/ZsR3sILefKyQ/4ULipE93/vTsEjI/Dh9g0fc0Mf1rEDUY
LPzAI9baHQVJ7YbdDlv/z6BgWmYGVUPyDcMd6zWTcUMcaWHZv0t3YH7CVg8tuVQNk8TVPDlMJJbZ
hLtMKYi/QpovHMRY6/LPIIOlWvzciYRZZsKgo10mHsw+GH44yxykm+G8r+RUKKarxj3K9G83yr5U
EV+sPt3XyzylmwSTxGXGgvxX3rvL3KWxOzgihAj4y0wmWKYzkDVoNZeJTTGT3ZwyxCmXaQ4Bit9x
ZrnYI0jTDnUeHdga1tfS8wis/DMRWmZDUeElD/EyL8IZ60MLHcVWL9OkeZkrTcuEyfwzbCqmcLiE
ywSq+DOMShj3nwPA4DEf4GVcNf8ZXbWTY3156ZCcctHl58Dz7kcP/iNdqqUlXs1Sub+aamIRSFLx
hPcN8T/PpfGOEp+gDJIIS9dyXkC0ePjq+u6G9xoxdpyE/oZ1Qn9iYPOrlg3nh6psexcvYMAAzzP5
djYr0QzXQjAaEXaSKDniby4eDJMEr7Uj4aiY1RA+ooLP5HNvzC35jFOmjxkd609tFN2doqzMtnCT
KgIR9HTvtzBVJ1pt5NcSSyP819bgtIi+/D7F+lA6/kH6I78YprV1ngy8GpSHLz5pg2c2fsaqGAe+
A5vXYzRkd31oKwKzwgN2VMwkhXPSeexda+HGJ0JxfnM7sYyG9LTPW9IWMHjOjjrSlo1MCwH3bNt5
NlH8qMhiYDI17TeGG7QqwKfNi+eWTKdECGsHCZORjhCf+uiKB+MRc1L2hpaRRRfitl9YnLo9obcj
fFoemL3T9H5/qCFe2Nu+7/27RmfFq8f7tO5Hqz1MKNu/u961H5D7hF9Ej1v2kyLKGf3+XJJ1XWlJ
x8y6vAXkSHUACQN31zar2/lK4phcp535RaBtBUOJNVkurB4ZarAZ2/LdGDuGNfHIJHWTwav2/vAq
rX1SdIrJf+37RFw2iX4eMgHIPLRSG1u9N4x4GlqxyvuhAZxd3kIcPYsyt93goTQeyJwO70ZjaPim
4ZoN+o5Re7IBHm5tRBNN2yg6FpaXshex23PacDM5Lcu+LIn4FeIrzKHvxht/Tpzvx0HhqPVNQRTS
DDrKGBtxQA8Mo4RZ6wZ1IpysfNzOaNL2fs9uPoxQxM8xCt8qHu1z6kSvkQyiLRm/fABCkCToawnq
07ZCrWnM8WMx1tO2SpMd+tVtUrjWjoW5uMQjMTC5oS0y5MjFGyOh12HX62uufKybBEyuqnHM1pNq
cCWDedrXHpkGvEPDllpQrglTA/Eyzi9h3vNCFiglC5cXNm/K8Fr5fbUPVf0yOLHxHFRly/gHCzGl
BkkHLjToCprDnhOIqbJTR1s/a110t4IGrrTdAyAnexWnwQPLex5fkn3viQthgUuUxFq0/WgzMHGT
LdraCBpoxrpXtgBHVWI7Z8oF9WMByAP9Rhq461SiHtykDhBHauVvgcoMP9D85o8eYqKzCVLnN9Gb
7tHgymHFRBcFetDddGKs+t3gIHJbExALS8kzw99mPHcH15l8hL85LDCu2XDPastJVlVixcDOAm7O
DOM9Wjp73I8ilZ+B1TYXbA/jPbtkFJsLQTjh9RbuiS0n67S+T4tTJLrkKQos52z6vfXMjCb8lasQ
tTFeI9Z+bZRkHExWeEy16ZwiXmpzDdwq2EbSSMjWGxWr0mjqo31lMjUrTGG9ShvCDX02FpViGtFW
iDz67mCp9uvcDbyKN6GEiuj7xjPi9/QArWs6p2M670tz6t/JGizOXTOVEBwpH+6QIyrcdF1QnrRp
ZsHWieX8nKXT9KtLCS3dMK7LHlvImI9BXAHFzhJg7pS2HVtr4e1SmN+vgDXMuzAuy1McWuZ+Ej0y
yHny2PnwOcAKaQORKArs7c5ojM/9UNiHHsD5zQikppp0wwepKv+aW7511sAY2LoO2ZqAsepd2uER
1QAeaB3dgZF2LwKZ9rxtDIegWT+zCyr32FQMBEyLqIQ5YYcvZwbNbbuvDEHBM4TJuPYaOguk97iB
2Ru6fJgyIJh3JIzH+yAvITL0CDNFMelHl+iPo1fzLyhZEr1It0d2QraRfA7DAZrszEjWeuCKYNlC
mEg/cYABtmDFn6zzXCmW+GWwc2U57wLXZluCjgNPVfBJm21t8RFknDPltGf/5u4ahMnfFC2wMSG5
JutohocBCWQq0egM7bFuevWDh3Z+RC1JtemMJWQ8fggaWOTBCM238OaitUuQwEOFj/kOQ1w/flZS
jM1tGpMmfzJYhXsbXc9pSCdCg7cOmfcNK10uDnVb9MRtsz1EYe0SI713cJI+FvYQPY8oqX/PRibI
+nCjajsPdrTvWlPd2NhZP7oqsJ+7cWAbP7UieF+Y/vM2TZLyKULS+T0ObnoyACl+NrZgEuo1rHZR
A7jjI/mj9i8gK/MpGirpMwMdm8eptTgrZkKSKNiUxanm6CbaN2Qol6sWxMKby9v9maH4eXHYNLbP
fmG7+i4EUiLhX6A13VoYi7ZRkZJbI6cUCLcTTUxrioiY+aTD7nmsLT6EG2wKYUrdTuCkLiYX8GzG
00vKgg99i/vwXFlp4EKeauq7qPXieDMYUlwBLHjEt9Yeqpiqr5fA0U7+yOch3peEhb/WLBc+BS3R
urHr5rF17Fti9JtoJPapVr5/1lMEOJvPIQMX1/xMvXj4iAAzHpdsKrh4vfFu1ZXjb91gsn+4QMZP
vR6mXR/41b3AjHWLiDyGuhiN4cFGfN9MdXakoo4vWL6HQ0NG4qHjJfwkpaK/6MpwH9h0M783CIrR
lQcOJp1OOH2tTUdOxmMJb/4aaMkY3gk02HLIuOB6/YbkJS+fQtS3M74AxwuvUYzKJIq/Casfb11t
hiiXiZ7htBZMrpTbB787vwZJ3hXJjmjgaNMPIn5t/aB7G1KenBxnx1uaR0RRjK68lh1hA6Dii1tW
kcZlx9jql+FYQzn7QFQVNv0kqX/ZEi9NEg0C5GXmPs99oE9zRIwUEebDa7ZM6JSRxXdQndMHsuCR
HbSQ7LeFVevLGNoEkhtRfYQAHN/6ZR4o66SqV+0yKOzoSb+aSdi3uCg1cgGmivBG2vveGbJj5TVv
nTkm6Ph92Oo422W3HavAX7cDwOKs0/NnDHd5ZSHQX2c50OhJp+KdlHlx7RGfnAGfB++J14Qff7hq
TkSdxrXaP05RNX0k1GJ3hHkBbyGx78oiJXvSVHnoCIEm72ayVE/StutrCDTipVec915ddR8J5nJW
YDr5nMCkkoAe0FJbZe9dfY9mbdVPPF0Jt8om7hNEQkiptz7cpHWKWA23LiveOk6vqGXC19x31Mmp
w/SVsAUa1Ngt6AT7EorHBG8dAcSDR4TLKfR6aHt9lz+TjoA4xCjK3/D64wZ+RimeferJO7PgzluR
Eyu//Sijw+raoj2bEejKFak70cHgg2ZtZQ6lYsUCpHvrmkxHGCzs+k2PNUQFZCPWE+K++tlrhfpE
EcZsxcu6piSirSnfiVENPwc8+IRcRJwvZ1W17sPM6fc6IztzLynWdoQ+4BHbXQoS4TPSA/2V0yXy
q3dL97USBbtMz6uw0lv1BiS891a5DGmcQleXiEoNSAdnB/+gFMd06ee7BBLjI4ZNC1Fd6xx4JdV9
i1Ya3mdPdm/R9Werx9+lUCptVZXkBwDi025G5ndRPgcGOdT1e+uZiMTZKT46eYbauzDJnfTWmiMe
NUZFxFNVNu54FxjArw6oO3H+Yk2eFkC99VrSbZDvRADT7960SWJuzQkHyQTeimVohEGnnKa3jB4S
62PC0NhLUNPxy6N66e2QhlrEyi52VAEYRiFd/RBBYj17ackHKLFm/g2Gqh6X3JuRQVBUsiRvfquM
iPktutDyc27D6XdFDXqMHYNjKDTmTVw0iOvIUti7Y/KVRQy2LKTp7Mc/CbiYMKryTA8a0ssQp+ZS
jL1yyKBnbdWTGQ5iDx7aOMOM8nk3WSt3bNs3sA4IhcdUE3f+o06UfR/KkFDzyBZYUGxQ0OA7sqOj
y/KMftI9EsfKx8Fg6MciH20M9jm5XFPFLqt0swm8fMVVpXjSDIQVZAJek2iKNww92r0VhOYX+hBS
tS0SxGGjICPM47w5s810rj0d1A75jH4kKephmmNrz908PGahgX9IWxJyguGQCW+QQkwYdHuP9vl+
mQn9MN3QZqVWD5YEY1Om91R2BY5ezqsrBjGXaZdy8IcHsY2pK6XxXHnjbDN/m/VGwg5+NXMvd1fB
0Lo3SoPcRiaUhfe4I3AADZ46aDsm5ySXUB+VyTYvnHgu8zBY6Ryixk7PGkEgGrD2bLcLctLuRPiG
s0PsVFurHyRvmlfilDOF6hU+A3IH5yaTrrk2/LR11TThQ8x+6GrWRsngLKi8c8eu6YBgID1ho1KI
j1GiJXbiP7pWXu/KAQvbRpQ8p5Pq9T3DNYXMQSpKGhKzs23TG2R5znadbiN7AtTQzBstIgm2S5jf
xhxlxx5x1JPLyUQETydsrqMZu+7sZ7so7aJd6yCbCxTTt1h4SL6stPCvY6br22yMOCM7Uir2sSHL
g1sN8ydcfe9UO3X64joNpyB+AnKDJevmmuGVteKhVvf0BOJ1QeNUG9Psqbk8+yAVl5mu+lWEaZ12
z/JXrTBefN2rVToN+CemIuLdBGICwTgfb14o8nUz+cZR5259MiqzgsFRNh9mQgGC9oxlEIsWDmOF
HtDZZ1bR3OMN1Ls2AwaNBZuLlL86R6RoxQV+AJIWBArepowRSK0nP9RbW2L0zCocy2sXvuoea05r
cfGI/g7zl3qFNmW9+kMZwdaf0KcwuVqINW6abL2c/RRysKR+zhTF+C5xFBSL2evTcmfkzPLOfRwL
RrJ1JfjcMvzAKplFxht5KOrkkxfA7JkiOmOnnvaP7NrQJIEVTp5ib4bCg4RhWcI7rjNsUqSHv1Ov
mDE6Du5HJmb30R+Dytp5ZW4025TdXL5zZMW5lTb41ld5jl1x3QW+fFQYdrP1ECSgqzI/qN86W6Zf
vWFO8zrwB9M+jqolcXBm1P+c2HP53sgQ2nJaNvekqEGujWDo3PopQrItJuE/1AODONnbxT3XzQ/H
Skjz89k24lAIPoxKxrt6GgGcSU+elC+K11SlkKpKf0Q46sag7EorZ5Cij7wK81aZ9XjnJsrDklgF
1ZPWPcnk4TQ/M750Tn4jvAeJRYxET/KWL1E3I53HVup/MzVgdxmVeOBXaEfQso6wjzeGN7QHZsgA
cwhKHN8TtpEOzYiYrrqwvW0X35IazNmG0JLgOdNhecHUi1kTvx5JErhKQ8FNcFBcMwVAl1h/oZdT
FZrysSM6s0JCtWLq7Nz8WkpAdMOUg/D2poV7JZnUbvoKhs1GwrfbcY2Ih9wO9E1OYn5jcD7cDLcr
ST+zIDqUttrjlpUvElQZekZtbxPfAAZRJWLaqNwh47PLJ/rywcf4X2fxj2R087M2QMa1hoAPVhAn
ZqMSJNGEtyDnz9i3nLspocpaa8/o36dZkzDsUlzvYvAve5Tp4/0YtHiQPOLjSoIk3OBWIRk21hHE
h+/QiqFZJbZlPUUhg14s/2bxlCaeILMgpIEO3NnhOlUg4PDlivVYSOeuxfD02ESVCShWlveT4ZSg
ZpAL/5hHP7mDYoeuom98d9F+IRrGpJiWh0Q31osbB+KcNIEbYVdKIC4oQtBY0aSFd0qJf/6ZoK35
rAMenu0QU7CterMZIAbOwPDcSdLGzZBS3vi09f26zBNuAqae470yZfhzwOfJAcdDhOU7f/M8KY7S
0mjQBNlqcRya+whN+ZmznQtIBea3sjsgTEiI5H4Ak/PiGknNVhzE+RilzcUedH8EwNT9Vp2dkCkW
cHYOeIG9FSvg8ZebhsWmzTFsIiFO19rV5aG0Z+/kcG6D/q3yJxsv68kQpQQhP3XfJXLQGj/ahNon
N8tDanuos8aoaD6tmuyHLRDo6pEWiel3XaqXDDbvzac6+znXnvc0i5Y/cFDuVNQ375EG5NeqcGLd
kUDDPOnMBPjFa/hUEtr6kxuo8FepNwTPhNHJcF0WrUi2lYofOgQqj1WVoWCfOVsQ0uNFOwem1g+F
9PJzbfFFVlgtsnTXe3DHkmkCMKbuY2astlzIvbj6nVI4SehKVlE55I8A0DLEQ0EqyKgJK9jMGSu2
mOLmAuLRvbHcKo+5aYGyFLBYRDZCIu8xYbZ21W7blpCOOR7C+6Kf3BNfFt3zdBtfowXRkr++x1hZ
tlZSjZ+0zP5dhwH1YRqL78ZyCL3sonUTw4kXaTBdXT0VT8kAuQWEUbVO4+BpSjBDZC6w5JXL6PKo
lbmAPIcx2abCdJ8lRI1V4Ho8PFOtSRdeuJWtoYZdT/vKhqZjwmEkRXjUlO0fXly5D6FpWgVi6rF9
tCno6QRyx+hhYHHL9fhVT0mPdHI1ofL9EWVje2G7+hNnJuo1LEjOfRwJ7zogsLiNjDM+Ss+3EdRa
IYDiqGN9E3d8mgYTPTD7rCXS2V9jNIRr2nbiN4ij3kAz3XTl2qqUkawZu7fWJnOGqVg7lAjnzvDK
NxlxZZFmS8kSM+HMLDEQMsW2pQINUr+yT0VCz+u7jRtdHca49XGGm3Lr46Ws9khdbG7TaGRppXXx
4cpQXdkddlvs8/7vHkDfeUC5xSzY8n+YXgxbh+wqom8yUPWnLnQoZL2UvZWcOzoYQcLyWQnFKKdo
5MZnm8O4t3Y+a8cu0crnmrRSA0KYzYyEKCvmGFdNNplYB15Tj0AH4ieHRK6dDKzhOfFG+7sapvEL
9aN+bshAa1GXjcv5DzHm4gYpts0Zj+hHk7G/XHEqRK+MSClN0N7TYvUphzH6VeQfRaYlF02m4ysZ
zuYXcelE8g51iDq8nbi4pjJwjyGQnzO/FEl+3MEjkZ2yP06OxlyellF1bJVDICJ0rrJepWE+vTUA
19jbxMFOiJo7v2xivSUBGYhMFQqDHAcvma+wYTi99SBwTgSuOkWjKiSU68n7GZgpfBnXRKIKHqni
thJJjdfVCibnroYyCldMy0zzMecWW0HmTuFXup1sLsE48mOyzEahqVDeEOdpWy85cuYXX5QZlHYP
dY0ODePIkL3wNg7uNP7HwEO3wsQgXtjZynw1sBD11niinG9QFOVdzQb1xuVF7ZJzXa5Ch6v9qM0C
z7on5vGdebPYtlkKdX3prgpfE6YXBaNe2+wHCUTAGjCSqnn1g158Z3a1XGJ5sCNABw+NbXWY/x1U
BGugGwVWadM6jWUz3k1//CPWMiQnf3nFmkZskfNZPFm92BrpcLMNJqOxGuiu1XtHEX6awjI/+kZp
bHVmKViXTf/Lqp302lFO3InldI7myd94MPEuRo+PNuz5rzl18DxZnTLfTfTCdwpt7TVrB7GttEm8
Q4OKPFlLR7/HXT3f2r4vLyQhL3FslrG1RVgcc8szf+Z1722j2m8vxDLE9yGJJO0aV06yQYs5/1SR
jA+RFXjHFrnsgXqdMXHVRc7u/2uD/k9wOnhs/1Pa+H9X6rP4Z0nQ377gb4qgwP2L3lIgwEMo5PLg
/U9FkB/8he+N7+2i8LH/xsj5HzJB7y/uCVDjnssXW77Ex/sPs64lAgdSvuXh8/as/xI+x/0D9P4H
atxfDLoBPwlpUIBASFqLcuefgN9V7A1mDLSQDEI+PCvUCUD9OyuUlH9Vx8Xgw0948LHSx2t8UT6I
2GjShBPodFkMao/OjO7QaxG9aBikvknFJwun4yIwCCPcs0c2Dn7Q9luBZfgXSGbJ6oaI2JPt5B0y
h25Jhwj65OiW0TalWHywk1LcAkXaXSQmsJUCKvXI3ORIxsh4pT198m3cgLyC096s0dpXhJNfU8VS
2meXZA/pFrY6/rGCwR31+9wOQG6Yrq2ErlmGt36182CIkgTdia10OswDTXANI8O66w0VEf4Vf4BP
g5gjSDRMDUy8s6mCXeXIb2bNznro1c+yyPx9VjPp4yKGLzSG0zHFxnabg2A4ZVSn30HDvCHHRnwq
Lf3pjQYqYs9kQtZxwBNCE1z9xP0FJNcirGL8nrvO2YFDJaE3NUAeeKsqnb9QfB8Nxte6CN/GRp5h
Yl5sL92wgTwVNqvY2CSdxGuMn3blD7twlN95Xu+Vvbih3Ylt9kRM7CDhm4M3rhJaKQJzww3wPpjs
VvqWU+xvtee9u6l5SVsuNp81rxpakqbHZosyw8fTYDBtG1S7EgR9F0U1saK20SW4CfYy/cAErI1W
M1cO3sSC6IPa/gLDip8J39+NAbq4nzqHBGvUPx+FYuOzqtw++imWVMg4HfkOncT5Yg32z5Zksn3e
Nf59wQLhLEd3+t0GmmQ1NEENJMcRVUddDJc2zu5Nq05+oxSp4GvUCEoiEmqgY8JPTHJSHbPuT4Ls
I9jYU9YRUm0BfmdNZrTyXoDnZHvuP2RAKjeDOz/6cXXLPHTk0eAx3UyGo4Msi4ZDszQn40w8BD0g
msSZACOl4w5J5gfD6f6qPBafIkfc3QuVPXpe52y9uknPI0tI9KD+TqZYuMpRzmvU+9NZA321DNt5
1JFS1sXzIF6vzbi0Ggg+RgLuxc4KFFMFINI1ezli9bxgMXClPb/sJq/tZSLidgEZzR2y2609h4VJ
4A1c7LVhpOKxxdWBw1wWqt+A4lzSqNzZNNcdIZk4zMyxjbb00lME3ilO3LUHk87bhHk4dJipLHo+
rj4CD0vQktHFsJNCHzqWLZrlJ6OMVZrZSf1mZGmL59oouZ5ZUPpOvvKWrCXR+2V/58Spng70uO10
Dps4H3b+6EB0jcq2RYyE96M6ZjhiK7J82d3zc8HQIAWI8wBAp5G6tIUhRjlcUX60pQhGPMtO2CH/
TrpYzyqnWWT7wkziXVgYvvquyOhirW9RFGwsbGeLGz1wPkwRTW/lwBMT6DR8aKPWnzZpaCHYd5lB
VIdQMPtnG8l8fe2CKCBUuiK9a+NlOS+WR5RJ29tbBiXRS5aaPCHa51Gg5wf0VxZPCnPKryFsKnuT
xAOYFPLurOzBrdIi3c2dXfrbghlWdBcTUjmdbTJSocqPQm8F5Uq+Nl1/lpspwqe+Lzo4tUe3aTXh
e63RJbvAyxpSDAvqkZXdW/NnCdCH6qGLH4NyNrcL2zfjTMk2msQoftGatpw8xBGLbdOz82LhRx6C
+GDbH19xN+vPoQScT87S2Fy7SnWs/vw5PRajO3/6Dmk1DK1XpovMWXvPsR7f/TIdN6psph8osprd
nMX5TaYWxx6zlV1UlvrJZri/63vl/4hEAz5Uanv+sMz5e3A7JHlmV76GIG9ozjeGor4s2l6fXb4v
9TYbMFbGLDX74qLbPpP7gJiLX0NPvvnajQajWtEQNPdTSzioEY84/DGKaLGpPOqprSjLfDhzar/2
2h69nUsj8sRMIJePYd5QCOae50NPVC6NQ4lSYIIQObIQSAJQYDaG8t7Ms/gp9yz2bGTsOKsBnnK8
8Vs7eW6rUvcfUTXr9jRbIz559jsKcx5jNCvBLJsN49cYpyGbXD7L0IwjNyB0sl4M9TBw2lH1D1pP
yb1twA/o6SWuviTlIevsYxi76c13zW6n8rl8MWbTuxhBPv5ATFHfasMMQExOQfCsqJMx5rRF/kAq
QvVVQgg5dNk8HMO+8IzV0PnFpxsm1s1QTPY8AURq1Ms6T1upT8C5373lSZY2m7Z0EqRngNMytGfS
/+3nc3OpMRD+BoA/MNBh5pw/K6Px1gqMAJRh6QLL8iozJfTMdyGxsiEy77K+d5kBWO5bMRhQUnvK
+R32Qje/WJTanAqk4xll0D5XEfizNazR8pfw/Op37xnD+9CIrkY2Fwcb1ykQvFuYBRICpebm3qgS
eY1yZRTXnEDwZ3AOTXEp65HEtcyqcOpHbHjTbUAd/U5quURJooJxn9ZhJU4uac/fQNP6m5sJ/9ms
yvxSJkC8zsgQvRdEuc7H3HGDkFPPIekVU/TuMuq8idECEpJP+XjF64rMFzXHIRwIYLMixzrTbetj
bwvoGZFN/ojTDYuSNKMhxxHVFgQwE1BIKmEwq5eRIv4uLFt0umOkYFq4cDzaa2HgCVrNUbEIH5Bs
MIAxGa115jzlW5rX6qT02IndLKVybm1KRG2hIj50EAtlv2VuFUrWZ4GXngLAt/PRD8nEYK4gjPYA
rYj7r4l8t7z1jjCmeyxmsbgxxQVqDYMEZi6OtRKntFyUSHXMr46oeMHDF0aGIjPxQbfuyQ9xoktS
Gi4is3Lob5YIk+hk17NjXgboAbC1GOL7a0Cfj0E11rRxqTF1RCwmTv0aknoyFhCo05xYcQF4Zltm
PPJBHAfrgSSWa+ZZ/h68d/AcjgUZylQujPRCzn0CDpKDYc8SgJsPkVkkqLlSUdzLOcff5ymfxVoM
ixszLtPhVM0XBSVar0oljXMiFe9CnWOY5gPRtz9H32U4NU7sFDppkldI15S04SN0tmzdqiTcahdx
iqLHevetrjmzLYheUiwa60zRxLNrcKNn24niaEt1U/IOV+ORZq+pL21VIRBiVQzQxB0Dn7e11rCZ
QtgA+gHhmXkP41ZecyOWL8wCx2YPYgUmeLXI4VeFdrG/1GlaHOEsyZfJ6hPe5gmq3DaYuu5plCzL
j9bkZ6dYzNE31xyHZQjIGC7xEMvoAAcg3Fr0H8BaigALj5k/zJhtGs8a9wrlBfuBGoxFOTuXqq19
zJzOuZlJACOz9znC8QlzqwyZvzjzJxdG+hR5Iv+uoSbsm6yxmt0gjexo6RbVAa1M882KkhKscsJj
lJvDIccknOzqMYaJZydtCsRdSXvXSM9cHNtcBPthXKIBnVgTOwjMMFgN4zjfZ7ZCoK+n6metpp+a
aBlyKawEgkdlCocFgFycuxZxb+nfLC44T6Jf1f/GjvCvEUf/a8dDb/XPHY9EhGb+B3tnshw3km3b
X7l250hD447G7N03iED0EexJkZzASIlC3zl6fP1bYGZVpVR1MysHb1YTmckkMgIRgLufc/Zeuyzb
8UAkGlQJCzHKkfFI8vBZLf+ll8HRgdbIhDliyp8MWP2cF2UQaMPBGRWckQRsGYOqWjh/cjm4VKof
C7jl+8VvZulUhNRzP16O4Wlm6yILPMxd0b0lyw5PUDEVQTi5GfRFLY0/MvrfdBlbKP9/8urm8mn9
/PIOZgksZg7V7c+XGQ9hqlUKQZkgK2aLGq29N93c3oJqA0QwNNmtW1s1I2ExvaRTOfohp4leJ0+S
04X4PGYYzM2Wg0cB5Hs3jzejU5YH26rpfupQx2mCzSTlEPUaZ9eNUixVpYMhrEqikihw7/zH39s/
XxCVsE5r39MNwm7l8nn/riCeLSJ+srKrDjMZh8kKllEINbCMB33TobVhjw+xRR/+6otauq0zJwHW
SuWv/3RPKtAmok+9hhcN57PlMLvO2xddhUfGRTUxZ383Mv6LB+BHM87yAPBiUL64QH6TED/ZgELP
MovMzcFdzLG2kcr8NqbaNtfH9k+u6p+fNIvbUkpsPzQ5aPP++FGaeYOoqo4LmNm52V4LowrYOBkE
dPs/viLjn780PJWCKpJjoqnjMvrxlVC9iETOMmOKa9gn0J6eH3RjFDI28KzOJ0jFbHbeHC+5ndHQ
XKdDZ4kbxl9IUjjydZ+nvwpviN+qLpj34+f5UH2eFf/4rf7TZ2LgPfWInePukni9fn6nmghbAI/x
gawA3TlUbtfejOVIsfSXX4fcOCmlt3SSLO+nzx5eYlOHYRcRxEox4CvHLGIkKll2/Hyd/3iI/y0P
8dKY+/uj5xM5+F8fnx3Fq7f843/+++otfMveim+/7w3+6j1efu63/qD8xTTxA2NHduC5SBx+vzkG
vQXmZ9oCD7FOKBQ29787Bk2bYO3F1evZ5mIaXgiAf+sPyl9IKCSL2+ZQLvmVzl+xEeMY/mF9h/wt
8V5hzKE/SBcc1+CPT9bsNqbeTxxRcCRMm8J5C7EGrJis5leRmIJznBFRg03kEb+e7cuUJbzWx+xt
RLt4SVyyOkZObIlkNBFVAwnCdMQphx9DkXt+pjwCq7uYapbwIwKXRX/bK0nekWkpHxJAdt9EhNon
nlJ7NxIvSU8gdGNfpmZuMVDEm8hB3NH2wW2nAQUocmtDmwYrUAJxLwrcrQJGyPlensFG228kNoAq
Qm/dlCYqU9ebLwCSckxoLdjdjDEoxpF9p9FGG5qek2vibmfIQCF5MEAa6rzClmw4yFiV5pfecFtH
pM8J79vAHGOocvrzxmZqzLs4R0GvKHlM2jddaTJQjsejFgXJDDnDnXdmpO5jPtvrMs6pmtEc7sAD
PY6MtJktnjvJh+m1lXVOJi45JgxLFO2u1gICOar6Qs+ywfJQ5rsYdn5lTvNV8NR4+BybmhkI9qij
MKLsatLaJ2T2flYzbRP+hCukXhMk+b0la4g0WcIJLAOZJWGNU/JQe+EhqgjkhVlESVxVK7as0Cd3
Zs/Z/hZZd09gRDM+dmSxgFfKNxXyfp/BGcipjo/GqcGuoC65Z058F1n9eyAnB+ODyLbjuIj9SwIF
Jfkgqwy3IM2dqiKqi9LRxQ+yzthIDqY3TwQ2lHdEMSAXNyzR4aqOJrhgZCSumqatdi3o5OvRvni5
fLSIUN6Re1fcYPfT1sQKXEJdXNNSBK5ifwmz6YoaZFq33Sh2yaCQcDQHJE8Y68IvQzioE+PbSU4x
X1VzhU3te1rcAxSuGL971l46VbaeCEbftMaGWfxaX1T2tWdpxEDS7qvM+mrqdRAgQ7+aOASDutqW
9YRYBpxj/mRmTBypsjQfVQCvnRxqfEcqq/RHeGukXU3EvyGCAYdXRIA/cncwdjAnVoU03gSiyNNs
eN+zxLtY6bwSsHedoL6xWpeyLPGhtd8p1HEvvdL5GfyoG0GP6t6zC+Ir6LghxCHVysqVdj1Hlrwx
hhnrvmegm7Zc+bUi4+rUqjRu180k7ZsMccGR8SzeBaHcN6lqmv5dEZ40w3MPoJu6Q8ZE8ktihV6/
ZnofnyMz0g9REqLBdVT40DjEI3KrNgeLyKqXKUUOM9VDScoiQ04HHdIrMb1oEAR+xkxP0zUyBXZs
pBGnyovtrWEPw7aFFkmy7zzC9hb5A5Lb8QFoTHdM9Cp/zNXUbOvepOGsKk+9tTTQ/dqI+isxePKC
o746p7073BpdYV0Rs9HhslDGi5GQa+qg9CEHzLNPNSrhg8Lccg2YKvqwcKeIVUOayrcK2j7xJT2f
OkKq+JLALjjLhbydBWCK1ijB9BvXHfW7werrKyMwjXMO2uVx4su60G9UZ24V5wwhTz+TlQGHqFKx
se7yCjU4+WZXUFpDP6IndJtktO//5DjEyf+HVdvFjeKZwnLYBVxbwqFYEK2/O8SmBLmXVjOHBzcM
M8IQVNkfKIebq9oqiE0NdAprYwBgZBqdbwyMQoaeSTVGkXAj2u7R7httm1ng93onwQ/TNhiacUfq
tNbIC4pEHL7A8IYUGpehvLELPTkxu70ic0dgqvTmm8o2qAgDN7tMIbg27qRHGTAYVsJDJTv2OY7q
Rq6iST4oRTnfdUN+bXehi8d56oKHahhMDTfvhDoLNCVC5KjgFxPhGXkVo59q2hVzhCGGEr4fd2ig
o2SDg6980Yyoxo3Zo3KQs1E8Wk7kvqCFPDYZI2TNdO86Z2FstcV6smy/KiZJIeoUPsx/exfnTHCt
UOyn3Gh5VxbQiPaMlP8+UA79jlIndHREkpNhb5lJud+ALk+JN4I75AzJRC5cfmpm0Z8CVZ6dmMc/
jie5pfm7HcDrYbYDnJTjHoHJYYdfIyTvx6IfxFYLFwQqUjYwazhWa3RfW4IPkrtqRtMPFSe/6ubB
2XlBzq00O9xVM0XFGc6jc4bM05xjqXmXTurRY6SH5jmM7foqlZ5+R4tOv4lSyki423Rd+a5Hmml2
fCGzzLvAEOF+d4eo+Qa6ljgKyoboI8/KYj2SL7dVy5MCzNo+ucvTYy7PEZNv4wWbW4f7aLSukNqO
t1Udo3nSC/bnqOkZ8bNVki3UvNWYabHXeKLZpssT7C3PMnqV8SFw0uIBt+d4YRoaHqreGggAZx2I
lxVhmgf7VOFsXpMYtdwHtXvvLmtIvKwm87KugKYr12JZa+Sy6rTL+jMvKxFAb7WnRwWV1zXic0FP
diF0qvyLgrx9gIDuHRDZhaes7aJ139ruW5KZ0wldBHWnnTo3KF5YGD3+94kDiP3VdtxoR4xSi54n
tm/439p1V4c22pkJOV5MXbeeuomZqR4od1w1s8cJJWUE3GyXVDekKxL37daJabT4SFHsZRxlqWmf
iyjvrwonIQZM1sxQZtiCs2960LP2CKmC5FiQN159oXRViDdkyhiGSNi03ZP0yHiGVlNIKD2yFMY2
rQviycoKNL+qjr0CN5tmCLBD+Ll94pnrcJPPErn+KCVGcchJ5JZXRQKnsW6tawu//cUNR3k7ao6x
XRjHG5UI466ZlUxh4C+DptoGB7DRGBaSFpKUhN2lVfBu9TZiLOZODKqAk0bapvscYPUJyRtrh2Xz
ec4yplvI8Zh0ca5k6jUqcmHPtBDMuxTdeF0VNbJeVKdzkgy0k8iNaM1i30hX3yZO+9j2ZxvLPXn1
+sVBqHoRTECZ7GrEfsZA+VIVB2vdYYRjBBNJxF44EndYYekWDgPuPnmtUm+AgTp8NQq4EcAjCN1D
fRkgFSQhjGfUbtR77LxntUbOKJ1P1pvJ9PuWbcDC9YQiTt8h37oVnnGXLMPDkSkioMNgH5Giuw5z
RbOAVs+phQS1z8ogX8exdQxcYt+WiaQdE0Sosf9v9Ln6mi3jSr4j0neXEaaKhhu288d5mWxKMUQH
zEU93pRyPiVpO6zGoWyfDFdngmXU03f0vdyDXVhiYCcpT0/WUKSc8NdGz3/qvD+r85Bo/WGRt39T
01tBC+bXyu/w7X/+2/j1Z/7OiWIH1nUHlcUCmfkHrd0Rv4AGIpza4CVYBZauzz+QMFRctk1diJ6M
nZwezt8KPOcXeEJ0b8hpp3nBv/wFWLt0kJ/8rn+H5AM1iWVQX1pAlsl4+qkZhJaPcW4aFbtkCRan
MTY4Wwi0+bbg8XsOYZG9SLeCnmFjDl15dQBgdcT3p6d1vweX7qF5UO29J/gdy2HBeyrhVD6bQ+Fc
YQ4Vj7FE7jeYunWYcgTlZaxZV50Kx0PBn3uCFVg1XaZc5NsYrfiWEsyDGazu2is7080HlA4MaePF
9zQtDijl2tmDiYGaZQZ/1IKKvUGJCNZpcU+1i48KpVS4shdvFfPo5qhorj/hGCCeOMm38eLFcjX2
giKvwbAtTq1k8WzZDlpgmSITtBLws2XmEtGGpB1Bul2GVx4j9F3cYEojzifzrbpLN8AF0Ii2yuFE
gA+ro7dH/B1iiUhWqylmbxYCG5kVRdpxXKxlKM44pJq92PaL6axv9fZSLka0ZLGk1aZo6Ko3xsZZ
vGoZ3v0Daw4J9hnN9LSTVwEReOhCRprzY+e9GEqwlGpFDwPSFHhc6/Q6W+xwcgGAtKpackwxy2GO
zkjMSaptSWfTp/aEiE0u0CYAe3VUdBgeg7T6Tu+2opZv2TSY3qTDi96O4VO7QMOmKGgePA58H8Ys
ZmclPgFU8SeMatJJrDowwQSYwfqrvxArBNNKfPKt3NkZXxMqALFNAxHfFG5Pz4Djx8ljjLtR1cAg
XhAHGPslLhefAS/cCe4RzV1rIgP1UHVzcWZHy78bC5UrAMTDUAZv8l41ZXG2FpBXMMr6Ppv4XkSd
6xwJne/kHRa3iBnLo7aYHsmGDf18MUKygSN8WMyReDDiJ/Cood/U2p1pJ9UpwTr5XRsRS0IEIowy
6equpHc/jbemmXyLsGLKxZMJOgFp+egEJxONp98NxYI6TkqKAyaqmDodp8LGtDg9URQbfjw303Gs
Z+c6rzwM0indiQK18rC4RfvFN6oWB+mEDny/JIyc1eIvxSW5IRM52JeMdENygPChklxZXg8t3tTJ
tscjM2j5ElnKdjfp4mJ1Fj9rWGXpoUiH4TWnD0kkNsOmCLeVXy5e2MGqGz/2Bj+15W08GjUeDZyz
Xpf1b0xZ6yc5WhGqZxy21eK1nTs8vavJChZHHdvYRZDOg4/LWjy6Da0t5MsiPFlR2a85eVXXcgQV
ELtV9SXwpI1mONc74hjRc6z1vEpxr6MM7SGXgKzmWBFquRGi3slR5FgSSCJ6DN6vjkoINY0xPNl5
7BxhL08+ZN7yEjgtqg0Mn9cx3alLVdBzaSNm803vkMToQlVmw64qm2zuMO6XTCDjA5WF8eHaU/sB
yaO+mAZTGcKM6tlYS7MnBaugreIXTYMeFzvV8Ag2r6h3hu3q2Rr0K8k+JEl6Pp0Azjao4xijWQuL
syt6ecEe0G3KzNK3HUV3gSoBtIBf0edy10USVZuWoO14Ozuae9W6BulfNL6sF6I0IChhyp0gwcpl
UEwmLHLePgMEv1IxIK2jwuR85qS8ePIXYgW8l46DWV98a0B7j5BaQ/NVKDlKGkNN9DISKi9WLIja
tHKKxMFED+zFeZkKwdEBi5b7aDBgu2K4NzzXZEgSqQYz3F6hsZgOFKyygKzjWpQYwEzfOe8T6drK
ynnuyLEgCDRz1Y2+8GOtcloW7SHANA/9J0On1BbjtjPxwe5cU19Qq6anvdjRCKQoLfF/w+xqED/Y
tpPr+zg2SSG2UMZeYX6oo804tta4CU2Ds1+jDYnaTXDbceWasryP7R76JmFgnJVQQTTvulrE111n
29EJkbzZ3leRrp0cNedbCu1WbZwuIsIgqXOaR2EKw4vBffcSq8UMhLYL08nQDYITOsHZgNw1G+JM
I4MUWJWRgLqyZA//ODWOELrtg2G0pCU0Vjx+V5pdfOlU2eywbU7Z2hRQihBW19ldnDrBl27wmkvm
ie/1pKk3GXt3YhxJkptlyPhvzEp72+k50nbZja+T25MEIrrefhWd3qDPh79+0O3QCVYxTsRdaPTO
XUDT0L0JFwPkahK5Ua9SRw1bLMZcAEb5dpdmXitWHFTtASRunjwimRhPeDvCJx1BJSHtmcANb+j6
AA1bDR+cIMkJ9QiA4jxKfmEUDZIQ+75xyFg1UPq1eScPmoYoZgUiwH2u0Bk9TK2dnobcwRRKLjc3
YBkJxIBED/Q7+AbGYwem9pLmkgZHqqE73xRofJ6l0/OeHcZOR1s0okB0Ri4ovmcih8ssq7+4dpKL
w+KSr9aBkw90rTyCz9eKefKZdLHuRbMyWgqa3vAGQQVk32qYaRFe+GS+KrSeJ6YNDHpTRdadWEON
N91opy/kuriHrBAYegNnTlh7C1BEA78aw1o5di8eP3/b9KBz8d15ww7VrfZSZ+xQ5uTqj/jT2fSo
+HdBXHhP4Txqj3rlZbd4NkKk4FDtaORY+YWCi8ZzyXT+g0W3vU4CAeEXXHX71Pdiav05tspXLS2r
g8c4l8miVVn3Mo4QCLIqau8F0/AZRpZOnOXoASsDpOZyVCD8InsjJm2uIKT0IBbQ1GFkS+JS1TuE
ETp0JgWmutCLDyfCxfjFGAJdrNQ0OHeJlUTh1hmAW6ulCiP4qkxvvMigl9oGtknibyiHU9BiFXCT
JLod2giwdeNimlJIJYiay975riDjYs6qnnAFsQv0Lfs7qed3SO21ClwDsZersDaWOJEKmr7mpFhZ
zFrTn6oER+MaCZxz7pdEZEzEjhPuwR153dkhnwSOB5nerU+eb3utM27l9nQIlcfdEwXPgU0AW+6N
hMWi9W+vqZKqJzgO9i3gOAYIVcz3nihEw0gF5ss86qyoJHg1dx3W2LvBDUALwFgxtza1Kk98GOeH
OJpwrDMmrdeCHY47gzY1IpPO2Bql0cFD7FM8PbPecqI1aE41iUquIV/RfQ/dwnybDad80mqvXIKx
G/3KViOfCAgckHeMUY1VJap4b4yh+5bGmfWVKQ1vK/SS9smDA8rnG+GEdoQTfmXoku3trPOeYj1G
1zjDkmu01ryClZVcsommma/JbKZ3nRDsZokKJI1t5PEqT/TJ2ZXIns6BN7qnUbSkzBHI0SZ+DIDm
dUDShm4OXcz3rPLyj6BLrCORjuE7eRHTtA5pUJzJLCCuzNIPAPDY5v8zHPx3HAPUctYf0oX3cf72
NXrL/utfAEV/++HfqkfvF2Ci6PwJnRCuLv5hH3DkL4y8MeXqOAtAwy7/8rfq0frFlNKwgCM6rslU
kcLyt+oR1qjFMJ6sL27XZeBo/5XykZHiT+UjQ0tIxrpc2KKWYYqfxoOmQ7QI2SUuVMiADqrTTPWq
8ZBrVgDQvnJHslzpkfc01NLdMdnKsTgHrU+nNDiYdm1+Yxsv9mw6SDmRCHS5l+9E3iavmUqdbTnb
FVEcbVp/rVvIKF5TN+tsmMIrjZSBOxce4rZkPrHoMFv1zQOauRujxrkjnSIeNrC6xdcgY+i0gocV
bVH3bievu8SJyE5C92CxDHZ7qOmTA78XC1EUg3blXesdQRE0jrpnO6y9bylGXIsTNNZvpQXdlnBt
9IZZko3fwlgEr50MuuPcJKYv7ZFpVFNGe6a3SORNvdhBZcNCbGYXb4rda+K1BtJQk3Jfkp/n11PH
0asWHIdIeroZ7DTaeAnSwVWOwnkXZAUTw5kE7cd+LsuPuI7tS6tr1rF2u4e50T0S0Br3xnJqsbQX
cVGYdhmwlsdlA124VcrZBFHDxjLlSb9zp2lct6WZPjdEdBwpYNtjkZpfVZD3lyCN43Mc2ZRxpNcS
PlpFB2tqnLUGtVyCsXPi9wgTwxczCIkbARFxDt0meK9GFlHGvJIU9cluLzlHmueSnenCF851SqT7
ASDSUOriaqAdUPiOS/4UoSCUoLr7fRSgKznHkSGYkTpBpuKiWWPdJCYDdsOcuR2VJRhDbnjBB6UV
8JvNBDwjvPvI7fTnPsQyXNtZjWiwL2mWp8ZSdjd75IO1P1gel45TkkqulWDCJLPdcLCSk9SCJ5cj
ti9jI39APUdzv2EXa5mWvUBcSfed6ZbrXjj5dZxlMMmUC9PD7uEqKXPIfSdoNkPqmL7JmYq2fvRB
EE3Aya2o5JUBL/KAj2HFl66fKwYk56GcvW+yEuHj2BuEmkDwf5pGMzu6UWA/DAWEytUIcoWKV8PF
VenmLd0NYKmah2MdnyftX6G6Cudxc+0JRXJvF1bbrkrMqxlm5TYZYJlw4u4YJJvctTFktseMjO6a
CeQy/8j5zLzE0H1NFd3rLKPypLludbcMp05zXLnwbHFgWiNpQQJGBSfBXTU5zlNaMb7hYNfjaSVM
TU1MamRKR5yD0aPhTt5VxNW1a/yr8wbMCOVtzWDwqi318MaaDUF3xlpCU8D6hySaKX1HHjIhCIEO
smahRjGnL766dPQ9MPxavdekElsil93NqNIb0NlfG2M8uhBf1xpBl6bealtVDgwJrWrvkpOxRhnx
ENWaDz/EPNDSxgxhRrbm/07F8S8EVIvy4oem2SLV0AWLvMFUgkV4aar9brwWOFiiy4blgGICxmYv
y2UUXBVFxO1YEPib4UYccrxFTfGcjRkQ8rJW6krMBiiuEF/pqZ175NZ51GGNLWBxwhinSUwy1Rkx
c/Fc1oQ/wFGMLUIPIpFv2pae8IoTYgoSbnme089nG5+iJQ5MjYR9aJZ1YZCMIPAnWaLYdEJLX//4
0p2lXfnDtS9mNrGIraQD0pnm5Y/XjqKARmIa6jtDhsS0YIjNU+tec8dXxMfJCq92t5ZOWJ8d1Tkh
dBsmOm4/VtwNqgJcqIVSkVU9RyUCgDlAsm2CriDQuv/gpBg+RPk4HZx62C/Ru7U11yOTefXqNu22
jDjxYhA7mpnp4kmNv9b1WDKRMPKbsXPVgYZp7aPexuZhNNHRrPNcoDrva/zOqXUoemXZaz3V2w2f
IybNIU383u5hbHpjftPhc39F0Vu8MtGHWWhnxbuJvecKmFl9lYUq2kaDke/KdnCeUZcHB/Bvwc1E
gvsdf3W2au7i58SwouPYD8grvNYlONuWuwF75660B3Jm3GE6QPRqEeyLNtiGmKzvJ9SnNPhnYgd5
2wMNyDTapgwXdmqQ9jZlk91kFvYl9iBiwTDsq6cW1LcfWl71xBHf82tKnO+27oX+gqA9dUMCgAKH
6omibZkO4Jd/0lppXuN71+6tBqwXmNmQvQUVyUedlOOTTcTfk3TKAuRsrW7cVPZHfc6NvWWI6BzU
utrTuTzkuLvbPsLsWqp2XcMtasHYGTTIhmG4HYcckCroJ6iwmYF3X9CVzaZu9GkCqvvOROFN04GD
bmmY76IiMrhkaAsbL3uM2mRABDzLYWbgPOevuV4Nl5nEzvOs2ggcRTOeCrTt59wlXJKDc3x25ESl
qhzX2iojmYgJyN1orau+OsMSDK7pI1S3Nk1tgoeMcNrLnCgYKawCWgBGJw9a2E03ROXFJlrUj4Da
EseBCGK0He82WlaRrA44rjgHbCGka4KrMPGJUFTUA1BlLZwuY2Nru8R1EJyzTawnliqQue4mtFm9
gmUds0IjuoUArH13lxWOsRfB7wql8wAiVZCOg3Y9k7v5c2HsPhdJVgrhd8vKqZY11FXoLEjlNGcW
gkgH37mstzAzisdxWYOVKcZjMZSsuZVZT88Y+92tOUys6NCt73posadZN7pXSXPLL7HDUJwrc5t/
bgzJskc4y25hZAb6rHTZQ8gfjrU9VmyiTaCosAXpXrWAkwCy0Ds0audh0kt53VSZCPxx2dfomYFN
dYkdl7tGd9URKzTpk8s+2alk9skSYwctqtB9Hyq80WvkYq3FPhVXJxDVPWtom9f7EuD7LohcmMrq
c0vHe8kXO2kYcrCu9FsYPnAF54avyPk8NUzLAULjJDEvRwr383CR2kOyLjpH+tFy7tA5PgZeVINs
XLLagsx1N4HWjac8A0cGRWc8BJL0z7bI813F0cdnSJ4ckq4zkQGgPfONnuj2YiyBvlHppRdpNsnB
akucpzgev0BzEFc4Qd27YjKCHKxGBOMzUt5HPVfmzUhPDxx819/EzRQ/asSQ3Qc0kxo/1DvnQHKk
5mvwi5lV0q6h2PQGF+VAZF3ZmtXtlVanF850xKINCM4Xf48pb3J8ZEfw9PlV2wEJWlVkkb+Pqn/W
6X/6HoE+NLYsXW5zdCs7lyr6gWxpdwMT2jwoDUoI3ku7xxlKH2tVNfgCrFRoN3IurYNjj+I+T4BU
YG2Qa0R63B95XD7AwoO5UuoqO0BMTVofgABYrqhHuxEaVcf8cUyaC8KecGP3g7fnYKm/j97cfbXK
AvhASz4kwXQ8aNthwFGysul21auQXKwvEx3sHWY2nmJE4fHRsSv6TcrVjl7dD/s8GcdjArv9026A
mre2Q9JQNf3FGN2bGXH5g5XhGRtLbaHmBDFEdXqOfGiufRtNZvqaWDbwX2KLrZWl8vY9pJf0WnVg
mXVHZBuvTIMd/+VdxyWyWZK6Ni08hJNJsHq40pw2YyvX41utBn5WWFnZ4ELkFLgaJlvcxFxGgCNw
LW1i9srKXhy8H7qp0ftsy5hqnAOA5lfkam5diDZQukz9uWxSceynprtIi/ZHaNBNHrBq8cMOTFQz
SrmAAlyVy4F9w3jGxtZhHz1dfM8H730aS/xyY55RIAVlcXCUdHnaCR1bgYsJ7+j8TztWHg7WQao/
JWPsw63PnwxRmc+iNro9fMHqyyBl8iVodPXBGJ5MVKw1+76dX8kzfbLsDB1lgozzAFPhYtrDdUIH
m0P/CD5qHG0Q/uwVPFbA9zaQUD2L/nFp6ydFK+Tg2i37bpDKIz09YsRbSGSGktNLrHGf6rMwT+Og
dWiz7eCrqTAWh7abDGtQYxzr5wI+xDAisBkj8a3romDniVrb2sZknhGixie4qOF06gqtvLNRLzxE
1C/jOi7H9qNHl5CsrbRxzwDSWG360Erui2pgMDFjT1gliL22TiIqRh6McjzEXj1PIjgK30H1wW/t
47csRhUTOJUCwFbkPD8N195nwQHXXXLCtUwGBRcK/DvR8OJSjlyndhPtC1QQm8HLGrKw55HCySJq
SqO/OyLg2sWS1weN6zznnARj2JKTd8m9YtrKyiq3ltE5r2iZDJi1cbJCPZB2qzybeGrVpNuUoVFC
Lm4JgzxrXpjOXWZH/770Lza9ERhvba8510xs2R6rhyZ1BC25qG3uzFBN+W6I4/lbwkxpZUXuU94W
HKo79vbZLAzUYGrYuXrdrKbIQl3V2fSUGGE+teFYk9s6sRTXqlcsST2kGWFiVXSCHHUTI2vNz7AD
P9CemB9srEQVIBeXzAdHnsmuIziCZGtIowW0TrIKiZsMQvvCCMm8RWzX2r5olVvsPMfT7iVb9Y1l
FMN3kb4HSGKKAdnMitzUyL7GnCb2Kk45FmnFJae7J/Ta9hWsSofgv2Rnx13NKgLQTI6N5ufy20SU
VrIFpc0shHzkAt6ZY/gVM8l2oI3MgfDUQnWTevfspq/lfDdFaHgFHb26MJPviQyv0jQvMPtV+q0j
g/qF+4vNi8HS9UDA+CmLiupZ73vmAXFGF2Ktsc/uPJ7ol1k2w6Ode9ZLoKfyi80gad3qjTgAuUqO
7ATR2c4CbQ1DzMDxnOWbAnbQOknCQ6tQOeP5dbDIdlDJksq+m0CfvUrawivNDXPQHyho0cGKtVNg
qd67rgJKUKGHeqbtR75mURrW4q0CFSIkYJF4qjeC9i4DZG+8N7ug2kmNfNOJdM4tFpxkL3B5QXnm
JAtiftr0sTHuOUOC+wM0gM5PWXpwI7OiOiAjHbdh1olNCp3nEa1jvOtJMiQPuqvJ5FPePsxg6TM/
nDCcBbhdeQ+Eq4Uk4fUkGT7X/bRMUMcwXBdxfhdiFyxW6GLmbb9suECzGcYZ6WOmTdUR71i3IwuR
A1kaQYVxEmp+tBcPHo1gOO9VSerd2JEqNWXVksHmwIbJtAGURJPyBMLtZsGGCtEv5vlkxVsp162X
8xN9m7drcC/W01TEDSPo2flahYW1j1JWiAA3vd+0mCKxZef7wqTLDQ+T1BU3TYJVUrKa4f4eQABJ
f+pSxsNGEFwK5haFF71LGjNJStgAviUjCk4qZ9gExMragHWhi+9CL3LwGSGOno50+NA8Ku+Ounxt
etnAZ5uPKfLwIL9E5ESu8wHdK32CeROPMqJMih1qczfNTpEr4aEVgXEYVGnAlegTDgxN8T0KyGy2
B+wnrjVp60VPXkGmZUpeFEn6zczK9KVARIbEOTWDO6H1HmnxdnZDrdISeIPNjDBFOkvMda2nRBP9
uoV+95LbVg5FOCtPGIPJS3GqZF8xetnrVpztRA+4vbCKZt/Ew7oiKUQfE/CgpvBmhqKJseMJsx5b
yrUbtN149pnkbuKc3keE/MHQQ4vhenoqTXkcm/3k8nl2hQegu1szOHTvzKL3aJA7yRNeTnGo0yxD
eok4kTakPARDchNa9tD92t3+Xx1+5r8qhaUQLtNi3TN17ycvzwDENQiE5e60aWo2hK/aX1XYQ8So
ZQEv3lPUv1Y2hhgtCxJaFeMlIjCjSrtFSzO9285cqU0mZLSZoHIwW1j6lfR0AKR0nt4ZaElngSb0
s8OpEyxfkkpDg3CC+3+MZQnolGwh7Pr/X7r2u49ysbk0/2fRkH0tq0nFYdT+3x//2vz6d5yZizvm
h79sPjvpt92Hmu4+gBPyo79+9Mv//Hf/8TfV1Z+JuPBg8OX9706d04fCqfODhuvXH/m7hgsYGKJq
g2khLpjfxXoR+MWpy8VQJ/HhfAq1fuvCG+Yvju7SmReO5Tq2JxFh/9aFd39hJKzTOjJMfpfzV7vw
9uLx/IcJkzkRJq//x96ZLDeOZFn0V9p63UhzOOZFbUhwEEnNCk0bmIYIzINjBr6+D5RZXSllVYTV
ohdt1qu0SIWCJAi4P3/v3nMt3RIEj6EoM+zlRv1TP8rrEm1IUx1FErRSOygB+XQlx+M11Vh3KhLw
d6y58mgbc7kXOW5NBnZptnZz5JMYbNoHczCxnhTsPY92xT21FqIoz7IlRnnluakLsJBj05Zi2b0U
EWLZs962h/hUW6p8M2erOzYF5dKh4zaFjVjGXb8NzYAxHlQGOyXQk7juVRNX+DISlHB+lJOgQJPU
ylnCXBuOm5HUAwxdsn3IVR5HKMNa6nxDJpKkG7Qy4wmxanCcG1V3dEuF/aDmQT4EDgb/JtKGS3qP
NJn6mXhu9OjhodddGw9yGjXgOhiwHYgAmC+aYgBtnWmCU3cPL64/yDpg+j3UHL4O9hTJW1EMcHhS
ouoz+vOzwikEXYvZIZijAmYQ+InLyEGvQ2wDpluSYkyK44aGwHBpw2JoQImZLUalgIUUxXjK0J89
fcSB7oS1WMdJXv1Q5PicZKfFnDviqT6h+RYWMwHaeWsbTyUuKdTkt8NMB4ojhYRw0rZj1rI9tvR7
Bo8OKCt5lb6l7NrV2aR3WelPTcoLmFTPjyJukstUC7w934x5J9yk30NTmeD2T96VHBY5Rewl9bhp
GlF+k4ZB+31O8jHY2WGdHqp6FCHz0XpEPJc616kS9psYXSPedCxFDHK6kUvjhi51P5z5bAPWXz6o
Lu4e3NAyaaAhOHDR9iH/WQMHUcck7+jcRzmu68RVlPZVq2OQNseWqETi60e6p7yCb7Wizzdo740b
RAHl3gpVfN3kZluuep1FVhcRJ2AVYW5Zp54cLmgeRkcvNDKgh7r93SwipvvBbNERDnpv5BIEs3dm
9loy+cqKSX+h16fz93T7WTmdQVltCwP67ezlIx0CszK3A20qaz+NGlbjCbae8DvbnHsffL/zpJg5
1SthgNlr3HlMfZJwSmArLvPolajq7oetz6Pp808UAOxFxWSWIT/dbukq4sp00022wiiC67wfKcuB
vg/bdOSDrfA3oGKaiqliYixJ3V18Ku9dTFz5mZtrgmQ4q6t9O0vKgtGRGbmgG4w2v/W8GHKc01GK
rPoMaNbClq6T+2r2LjKnGzcILgcHjYvtVUch8VIQS7zPCAxJ9qIRyX0hB7EDTjRvHPi+p9BrsuMU
wa1WoySjKU4HZzifvKLVr/U6Lu/rgVNiDzpMtxZqiGdwrDuYXk4OBV6MNmuIE4ax08z0DLlTQHta
56JzgbK2bkFQOkbkCMoMJqfqFWzDfJI9PZY1Sh3cARpgnOneMl3m4WqiIYv+Dep6uu07kdW0/HDn
LDPwNH4NNBXdDF1hv6bZoDhPhi3ILGC7xXwZI7vHk8Ej0209q6L5NSBtRxtFc9Zwz2yaEvOlASpz
PtfAJt23U+vgvTBaq9viGJsI47Qi2aEOaCeW+VXQRK62jMI4v2tKvYC+OBYkjG0+cIQTeFfsmsa6
sjoKccvi067+y6o8oINVRxeaHKGrRvbtTq8Qwv2vbNvn8VtdNuWP9vNG/bH5/mMX/7+0uTP7pvL6
15v76SVtopf34fv36tMO//vv/bHDm7/p+GzJ6rEX3h7zjb/bcB3JBF4XtjBdrLDeh3777zu8zg6P
wRoVNlUepAfexj92ePtDWk0DFe0tnfd/Z87+ZeBkL/Gfjg49UreJCaVw+OLnsoi9iWqjYAI45Acv
x8s+uNkJn8FzS0m9Mh2BmnOhTNTdLnDhP6KqvmeiKE5l0z8aQ/LUVTUylXmZj/fdvlXtVRIWHCxs
fVHeahimqsZc11b22Lp0JYSXPg5WyfM9HWBcSIpQckJhHK/lkFz+6dv4J+O0zxqCjw+Hx5jyxXDh
Gbrmlw+XiCxqSQ00/ZHkI+AAKIV/FHV1JWzn98r2X1bsX1/J5Ju0yMTCXofe3vSWgNQ/1UkhfhWn
ZybkY2cj2wQ+TaGdSJDz9Sr0f/6hltDWTzUZEzfU9Zw62a35j/wCVgREPuRQgjUcUP0bpk2H8Wbx
0E6cFmtPB9pEfFBm96lPz6LynR5Dr7DNfsXoLEJJN7R7DrI7M3ae+Ft3RZGfa5acfcuqH0NtOJa2
8yIj32RNQ3VQvtZjPq0rIwI2VKjTZIY1FtIYHKAhDsyw8GPSj8Yem44bU8SDHwXTi93PT0rFz4Zy
sD+nwvrF5f6wGf65LuXDwyAQFgUuAHoMC5+vd2A5UT8ZmueXrruLONHr+QidJ2q3VUkTr3yscvtF
c3uGtDTCFkGg2efv4HK+//zL+Hihz28EUKYhoc5A2iST7ssbmaIRRHbIQQuzV7zSlQJrpDmPbtjU
PqDat6xLj2ZC+y7LjnU335XWdN0HibMzKi1b5Z68Nrr6dumcojTfmaHzMifhcz7p2zmzbn7xZv9S
zds2+lqXNv5iGmFx+XzVisSl04cKeiPEzFmaw7kjhjuzF7dKs8+rNr5ruvKMnKT9PGJYVOIeKT2+
LxONyhgRfspQE/iKw5l6PYOAiWyUBVVt/uL4+5dv18GfAjaZVg+PEhKlL1NwqjLHjmNHAy+Y3VZu
Aiwox0dIZUu2AweCAPN/ngz4F2yUqWk9P/dqvp3yetNRnv38on2NNv7yXr7GnTPv0DNyOwI/gHwz
VmKF7Y7SwsCpIHfNL1/uY0368w21vB7OHUQAfFOO/DoFd0jzcWdkFb7RUv4iweBo3tY+TDHuCvOW
vFm5dae8BPGvEZS6BHkSdXHGIevZmWhBJQnCkXDIMxpDxWPQQY2GL5onzd0cZ+kR0UK2hno4MkCM
rz0qaJ8SZqUZ88ltG3Of2FhvSRBWqDolLt5S3wxhd+QESxe3sIBwmuqEfS3cBlNG6gbRHfsWx9gG
YuJMvws0KPZpY9Ma89XPv4jPSyxH0eXCSGHb7FW6g4jq881LuAl2tpYvYp7NzWyG26S6GBMXns35
z19I/vUxgZODmA01Jy9kLMfrPy/m1ox8jFo42hiJgwI8/Y5lntakCxl2XqAvXhM9JONwa6r5rO2m
G3IVngI3b1D4BM91gDLfat4Bq60Kke7rTN4hsTgfy2z38/e5sII/bQSI8D69zy+HcwGqLZSVSmnv
26dJH7a04nFCJPkj6fFi5dAt9umKx3Sxo2aVjcV5PQIscCv4/ECkmBLPwGDNRkMgr4y9kcT9ed3U
uZ/IId3TaQp2obLNA6Gw6T2CdhKJVXvRlxw2zKrDek5OxkqTFSI4oHFrG5yHHwGbQ5O1oOqGiTwM
Fecb9HfdrjDLh7FNXoJoEd6RWPE8Wd29JLXQn6kcfuRVn63HIKy3QafCI9aoeQsL8v7n1+yvNxHV
Dq19SivAVuwgn7/atPUoN4zC80MrQD+Usgj2QDCcXVDJ7c9f6gs6aLlhP2oOx1j6N+h5vuzTYyJU
1xil5/dyNg5dNz8ggjKOVY1wHrkHkEyF3aSYzpvwB+yTYY2xfmHascEObQn2eCI+Dz9IfQVN/Rdv
bnntz6sMaC2LpxZ1J0/T17IvS3o9t9A7QcDIDhM6bks7zurbL67A10plUYkKulCo53SHjtSXK1DL
NOzApABfRj7gjs64n6w49eHu7+Y4WpoK3c0QVtVLpqxvyTBdW42BqpMIcccsuo2a8wptT1xgWxuv
GDtEJyJRaXcSGPiLguKfvVPbNT+w2ZjVvS+LS5sYAQFXsItdu2RVifNtn0Bqjej7hAD9CFRytoIm
kcvM/ucXaWnlfvomUCRK28WZQsQhB7cviw1agHYuwxJqcuXcB4PDElOvc6/0jULeYHghpE794iX1
f/aaALsXBBA7LD2fz0+Bl0/CdPDv+8zwdpznEXiCEzhU9Bt9GVPa591blPbfgNAQcmm/yFlG60B7
bWnUriOtLC/csSAPyCDh3KHrdPfzS2L+ZQF2JcW0R4HroCjmKfr8/kZN6cyTWs2n0e7H2HUCK9gG
CY8LniUAo+mMypabaBglkzMylGf7uSnrcdvawVONKgKAsXlDJ+pHEkXbfBTbELryCmDdooPdAepi
qyJAxKvKN5v9FkNPuO2Jhj2Dn7ibK3M4YC5QpDg3/jR2QOas5vuUi7tuMp/0BlvfVGx70JxmiOa2
N+r0F9+Qs5SNn+6KBRAnDFzmFs8Oto3PV6CIGVe6ZOD4WM/uZG5dz265dwpCNapqzNBB4EIibey8
GsNsrQf8n9JakiCyZgP3+aathxs6NGwGUCnor5jrUdZs8A4OVWwdDtoGP/eaYaUbsGOatl2gl3Sw
BgK5BmK0UN5hoSBpMQ4CsL0l2T2he9sbOENlfA5awCej6qzGmtonWMwGQdeMfsc7QVKV30GuqbvY
73mjusgxjo6nMUlOKSl5mGqsl75tfc0wcKUXw65t7XNsizvFGWQzeqlDbI49b83CIOoHM36pkQMr
BkhJbT76k56O24g0bdjdJHITvSCt6m2ow8sye3QAPcft95/fjH/ZZF1QWRzSHY526OG/rgydXQSF
gyPPN+RazXvL2fflXiFYKf+XjPD/lxoo9E+4nv+6gXL+8h5NL//Uq/D7r/7eQ3Hlb7RIOPZiIBT0
wl0eh+F70/7tP3G6C91YymWX84K+nIX/aKFAMvuYp7CMLIJ7ZzmS/9FCkfpv7EiSvc9mc15aL/9O
CwVb+9d7BLWqbes2wihO5sKwlqrjT6f/WGfQPadzs13U0aYv6jDaoW6OLmn80S2xWv3BBZ3LVBlv
9Ck2pkE/oOZtz9whRjJiyviyBiujOOFM5jtbJBDLoiUOPihDaZ9Q9XbRfcgmMa00Uj3vOUBKWrtS
+qNmiFVDVrbCNfbNsUpr3UZdf1kV4n6mBc96URBFY1X5XTgXpLlj17+sRZ7sJY3lgw2h/awO8+4q
T4m0XTGFQvYKziavSCwiRgY7T7sjdaihO9wW85EW0gDYo3Ona68LekyQsZ2VTDrUTQF1ZL7pvQaF
lx3N+W0lXLraSVz3t7le4kqczYFUKI9BKt19U0b9mQyzXq0IB6zeNc3tMAMTT46jPKfTeurGwvMO
fSAdZzOhTauvpymt3k0imeIdeS1pf6/pofdezvP4OutoFPey9hSKZoeOe5gMGrAXz6th+QJrzi+J
viqGw6xZ/Q9YzS37PAOD50x2+l1pyxzRVuBeS3NCVZskZxHjMO1QaVEldlj27VemlGZ/ZtiMK1cq
qBXotsgWMydjIhfsvi63ehKaxIbrDHJYT8WdSXToU5eZBHorDWCwaJwLzmuTg0tckbMTDaG5tkiU
PFI8tbuCzcQlxrrOd1wVU1+3Fi7EDMe+t1JxxdrTpwgA9DY8GZmWp8+ELNo3oAc0+t6iEAeNEf0K
eRqaBJKbs1UVTPhXhBHG66rDR4deF1uxQXPfMlMpdyy/zgEwfHgyi/Sty7lbaPGkKH3zEmddHCa3
iKNJjkLTvBIZn7tzAxIqSeyK1qE5li+iHANmb53xI8xy9wEPATe5LtBCPEeVQ8BalfVrJgSvBhs6
kaC9tk9GC1YMGRg7AX018ltYOEe7zW8qzh+EAtTRybIm63ppYDzVdRafhwNM9E1GWOdOtY77Vuc4
6lH+aNkjM6Su4whiIRW243AMKRwlDraO4Ir0w0cD9yYC03ZoCkIgHBfR92rKwuaEdT0mFKm4QQ0m
NnGpm3RfklauGKjcZabZP9Wmg5yg6rnf6YlakHz6JnW3bhm4xl4EpMEBXeiih06UUbyOARVz5Ia5
js2C2dNwJpw2QnvdzTh6ylwAK9WlizoRFVj02AwEZONzDdtyW2LhHk8KXB2ek3QReQhXkmFIHKBU
lFuDDpw21p1VZdf2k4ETHs2fGzpasAvyznzAuqe0C8tsopoQyDjqtiMNM8s38T5Na7q3hrUlhmoS
fjLyRa+wDlkpz7oMi/HCVE7YnSPqRdOqq4SQPUzbZnETuQMs8smhX/jQcne5K+Fk7L1EmWBbiQcc
UOti8mDtVTNWHLyd7R0Qd+vMtYj1uIWdRGRgrLVe8n3op+rUo2fkwaapiM141rP7mjcq4Ssl6fds
aL2aCXNQVwTi4u3kdObg0AXxT9Jv42oMO/HiBz1JgxmBHYkiK8oYwk2QVGlzxp2JjK9aEp90rzav
6yUFqljyoGxtLOSebq0XHzrTql8NL6uxF0eEFuIKZW4a8yMWiVF+K2zSp5SZ47cQqW5usyWYyhKV
ouJ1Eco4Fhap9QzwRHKAwfK0QiFEpBULpNOQ99qpcs1HzH3SKAnASiOsq5y5U7qySVEPT0Qwued9
ahUPJVZkBpvWMF10S6YWrHVvXNUUdhvWoRCgX+MNe1tvh/PeU95VoLkM3N0lpSvR7PHaIvJ2bUYc
D/K+iLAct1YC5mAJ+AqU9DiXZ6N+BsAnPrakZWGbqdUdgnPjAS74sNVr3Jgk2ttnHYxlMrnYInNS
FUkVG0PO4IYmR+JcYw16CCPYbiemzjsRP6OtkY0ZKYb7nCRRs6gutbbsXsSSYBZznr0nXCo9s5EE
bZHJBzfslrG7U7rT3BG+Pr6SQmu+S08f7oY6J7rOKm49liUUqMrxmk3Ul7dJZ46kf89RdVB4tcQO
FUS4R5Vt+KSNWDtgCkm8tsy2N9YWY7po60KgroGs208h8jTld0voG+E07g8CVbpVEXOYpFEi9klL
Qpzj5EA5SvQOw14gS99kPTE8cPPKfZ73JdL9ZLiw8EXBUCN0KNlOOh+4FaH+vYIvc+qCxIjWskCM
fAIrMVd+QzLWN5UNGcFFI5h5FEaVeVaZREgDv8F9XH4E500wyZ4tTTNJLJ+M80Sl3mXxEbaH//2N
rbk+4V0iw/cjlA+OeXWoxjQ85jo66ZWaWKisJcovjzH4rVqz9y55L+0zKl1BZHpjo8vAI3UjHQaU
8UdKYEBeYOMk30kUz76hCEo2Q5DH7QXfXvEkZjHTcW7xF9SttSuliQyzrN77JbgwWiIMqVzGbOUV
+eOko/JQnhaD/C0hZxZ6VwMfK3ueN2c0fH0JUCQtiRFz3nnTtQ5fsbrFeKAdpFnWz1IvuMFCs1uQ
FKXKXR/tWA8Wzm7aV1v15jPhSv31iPLYOLOiIn0shzAMLyezJTlFJGbxWg5kRgbkjKP0GEvkFM1H
tOQkEi/h4NY7YIImgvkMa4kHxgMT4bymP4rI1IL3wr/GYiY0x+n9mqhCyByKH6ZBa12bCRI9a2hY
mfly9fuRgL8WLwQ8iDW/naPhDDl4VrBHdlDj2h9LRCyQhJ4/iyWA0xqI4kSDX52GJZ7TWoI607Ls
51UDYTvyraxPvmVIhHfREvEZL2GfZEmjsq4/Ao/rGLQAPWaAmHbDZjNxcZq1k/a8wz7ih4uo1NvX
Sd4k22oy5hf1kUKqRmN6iZdo0rYZHROxRY8sPnRNBZxznKL0SsfmduSLRw8h+fWCbjHOtRU6koLg
XHe+oTCNiLrDQgpi3w0r5nXZbK34N8Od9JLy2Uu7nOfNKIYtcoVYRy+CwbGFXfRUlC1ZqQhMipd0
sqyjGXBUNLqugZVYk3TomlpwDEsCMGknWymweiI7QtbMaZ3gDHpo3VC9zQKi6cooHesijixOtx7q
IsA203iqm6q4Kz18Pau6LkEXuhCVmBPGzRm5unSYpRmWV6z6k48VlbQVip0SrqwIwm/QGpZ1Z2CZ
bCRAJrSxZGHWAUWTP5XE6nB8nNSzGydsNSCb5ss6VxbJiIhgX9q2JGLpI243V2l6acSSCYczkB+4
JlOaYG59Sehta51JfIM4/Vs4t96dp6rUXXMSmC/iKRL7YkFv+/S8zEcgzH10mwJWulJmZGQbFhj3
vaW2bLFkiinYNuzMV0U4WYcIphu81bx190ZpaGRFOBGigpBrthcxblOrbTFPWnrtXMckYzgrtxjk
LcNWMjfssLuPYJre0pF2r3AzU7dFlmquM9la/VZ4KIUpST6Sl9veJiCkD+3b3vbiy6SfbYo8NyXY
w1DpG5oZ40ZVLNR7+yPWOdYse2P1lvbOipds2Z/tLRyL5LszAUakFLK+oYchERqzoH0jOmKiyzmB
v+xFBtQcJWmS0BH2DhBZnafU6eerXNTaa4kZ5lZ8hE/Lps2PRT85Pwi9i6sTtrUywI1j5e8wVNv7
eRinfTZn/REGUhr7JometDigLZHpDnpq8uOCVWivVG7vJ5WQmhtOWb/JMN7uRGu1xxzZ69qZYtKq
FEr4jT51dbcuJPByAZmVdMeMlKN5ieYuP1K6nclRDpKyeNwSDlOdaBk7Kenfcb0hlTs+QuoQZ3re
PY4C0HOwpILPSz54XEj1HCyZ4WxNmL4iJCExLkX2rtC8jlHLbCysBWi5l+xxweIF6DO6lwSV4sKF
D8VdiKSH0PLSMfeNbdRnYxiEG+W22dZkKrcDqllCDpmC72Alm0tTlqx/E96KVT1yOsRMuStzvG0D
JQJyobEn8450n6uxsKIzlVTNVifOfK83KNNV6HRvQ9pW14TyML8A69RTuzjlncnet7XdodkPmRc+
U84069KLbuKCpbmB0UwxB05mQIKzcvoywBWI6RF2LtPisGtO3RIGv/h2/SEe3jg9tLQMERKv2IlT
2EhD+54qJDubZMigqSRgsBIlIbwUym4PAzcImWNTfawVsmRwnUTT4Lp8mV31PpMhzJnGDJbtlNNY
FRX4JqeaUE1NzjuOQPT0oohTbczs6NyLrQKoNyEqCqbLCjmt3ILLBPeRCwDSahzro02c+AmgG6I3
jYw137VqcQn9n3k6kWEQGoM7bvtrGyhVP3b3xjyYVzRSUQHC0VjraYpsFqjmiq+zX3tpyGBNzUl0
HsEvStfJ1GX3pTFGDwJkKJaTHBWhV6hvQF3Gl7hKxyt7lgTLChhU59NsO3tbDuZZGTDK3YmxQZUr
knF+Ykp2mVZNfZmiJ9sFzRKfZtRUgB1mKZEZ3TNVJ5HKqWU9NlPZv1Zzc55HmTo2WZIDNBbZzBJj
hK/SC8RrSLmxdrux3GLwdcHGafOxL71mEb91tzkJ1OgrlOUzeey2KguxJyElts7gm8sL1ALDXetQ
m6MQxATT0aF/UgF8qVaX/aYgc2zVTkbz6hZxCPLTGY+WFwy3QWgRTua2YouBit3Nts2toRH45BKr
lkKcCkPS5eqeEDKqkSt6iI7akDmFFans9HyjNGXh90i7AssiZBK2cB2mNM5IDHytZlTPbU7x5Eda
1/9gfNs6GNRGd1zrRHpxMmnpaLfsJu+11PCGpmB59skcF89jWNOe6AyZBStHS6rwKk8qcR/EfUn5
neZXZWLIZxlp9iW4Wv29SZZgrtQkTwainG6cdZxutjbOWiZw8xjfp2ocLKwUAANuq6opiv0YKndT
QUCsNm6m5sc+qiy8Vao/G7HTcl4YjeKKMEFp75cGyUtoafqmT2f0Y2Y/EvxomJgJ123Rard6Mwky
cXtzzf5S3UaZ075I7JwrrdHzvbTi5zopo6MB3rzYZF2IKmSgz8K5LtN9BL3WnXKmFiUnbtjzcJx0
WqtFDQtINnJ2dpAFDG1rjBp+IHfIC/c+UbEUu4pd01g1QbaUjOFpGKptPBDSg3nc62bEbGImRbD3
xI9KjN2Fi4fkQRDii14V3hvMwdZJHuMirg90cAokb6SPx7S0xuygOYmR3w1BO98iCOzx5I54i45l
NKajP0dTvokHbVhPdCV2reE8ebnKvQ1zSn1n0JxzWJFigdVZt2Dwl039TJjVXOIHRECZhvheOJpp
d5UbuCfNnps1JSTyhq7sn3nk4vqCJd8mzb7Lk0vCSs23LOncBzozAoN5U1JJV9auSLPqwvIqQCR1
iNc5RiJ6gsYB5seLsvdEq7Rgr/CZLtGLdYopYzZGejteXlsrHSh4vDIqicvZrgbc1gTcDOdMHAg/
RN8Q0o/IVJMyMata02dd7wba/uFCrmpKEp6zaFHJxubI494kgK5XgchbY99wEktw3hLPs+udXvh1
arXO2qyr7tEI1FIqMyVhz2my7C6lHWiBms+6SyLuAGnHOR6XdZRzY67Yp1P7oKzcfAm1BkMOwLNx
nQ5TSoXDFgX7HToTgtvxMHjVIo/Uqwc7193HGUPCuMLRrl2VLtyfdYPNoQGL1UzIFlpKWHIdanjt
fUY4QYVUPJi6huMdfAoEPElbuYzd3PDZVFO1I7jHvsiCAv+KJDBe27ZORxB07FpvNv0PjUk1mgbb
zNKCVV66j0mjQZXQbeK2EmUbVzlDln2Wo+/lDjaym0KD5DEEhiK2vebsgf8lBJKm13Zx0hM9RNmq
ch6SHLdqtenzEi5AIHOtD5nJBnmFOKYOOuDDerJLe8ccMSYG4xOSdWfmk7jNfTc56NTtboRmPjj2
jMsrbZlIOd5EA61PqZK7LNLvXJjP/cZsXZs6IQ2No930kIXRwScvEgk4fYt41PTtFOpCW0Orh0Po
OQyRk6Lj0MXtaaN9CEfH0nGnjeEjI6NmlxfSPtAQcWICc+GK0q3N3guVy/PCm1CaZ4ShoklunNq+
jLuwvYcpnzyoQUDz66bA5mMyaSL0UQO4wy3W6TjZuFUO7RTMZIDXrkJs3ofeXR7XnOZHyfIz2Xry
GkwDyvROgmM8sU7E5O8KveIGTa1cP3NHVRe7kPBMA8Zb382M9UbnrUZw/C2zJSSsNMZHukolLb1V
3DpApCKb3iNnAS0F5FUjLCEQ0AhfSLNwjoyzFhczEeoXaKfgqjisnyzYSUiIQs76T2ZogbDZt4p2
dtZZodOwwdGtBJqivrpg7D0ONGnT8ckOEjQljuqeeJJqeaqFIAOyCpvuVAlJiMKgOYx/NKMJ38n1
TKLtKDuGw2CJNLVmW2JdGYsxy78lRo9YwitnuRJdq+w1wRGWudJs4G+mnVYbTTY4bfpKTKepwOi1
nCK1cI0gHnL2nJVZspFRPF9L7LTVzqUyqjkyeY2vUDJ2+OTM4HwYtWBY1y1hu8StItUf0P6yoIoF
0seqavSM+MatVg6iO02DhZJncRSTiTBV9NHiWtBMahyiFldz5LkXzYxDHNtCmnMEsxnmBUmCy8PF
7GxDIQyXfNohpFk0lbzhUBub4JxYTwayWa7/6FPNvakZ4dJ5TGyAnRr5Z77APpryGGfQdrSsqotN
w7IJOrdV2nXIUcO9J+F0AmTQ4zx0E7Cb7qD32pZjvUnoLlLx54yCzNoksYxvstE1SdorLOVHgxPf
pJk77eFTRf02Skfnvoq76jhPfXi/5Hk0q8KtEhInssdKM4JNGTtOepawiWyCxXIfKlJdfEKVixcG
Otp7GVfTXQJ4QfPBgzLrB/TeTsclXLlejW6WX3CGHN09Lgx62WnvvVHM1a8icfNvM2G38RoEeLPh
sBYdNJ1hExik5RORYmCsDNuGhBdl5nddUwh0gsnYjjQUjrR0zHViWN1VIybZ+VpeGvpqdoZ5jxo3
vGnVUN3g7OUJSFKUtJEM5W2tGtbsdsYDC05YH4+R6qotUQRuuAXg30frXGvoROlVwwg1MDsj3rvc
vgmPUW/Qt8RzmVzQbEin7Tzr/XyqFvXxnkRQg/FM1LpkLGC0PGun6DZSpo3HVZ9eBFkEhmZCPxIo
LV01Z8MbAxnFSUDJR2qy0WJvSyL7Fos/TYsydatVXJNuWEvdvaMWDWcYD5GjrQWjKI2yTakHxE3l
D8KIqEWNmj7A2m1E/h30gZuusexkyFtHmv3YPgi/BCa3MnMWeirK2s53H0PH/0eQ/8K9JpGkM0r9
1/PZq+4dpcf3up7+rG//49f+Zza7YHtMYaLGXYjiiDX+mM3CkTPxYlvWHxY2fvJ3fbv9G4MYVFjM
IUiUkqb8n+GsLn5bJrkcaQzqdu67fyuG/quux0ZCwuBYsEIvtZ/7RV3zD4OE5lpPAUgB+JPFivgy
9gSMSqv0w1/sOaeqMN7+dKWufhdr/EfRUfDH5D/87T+/Ss2+vvQXdZ5MdEjcoiHmnDD4VRhR0EXJ
vK/S4HVQ1FA/fzW5fJJPihFUVjp+QcNCzG1K+UUzkwQ9+REsnAiXYD6EKiBgInEqIphkup0avONk
YO/4ptUmyzpwu06Px6mCJtzb3WNfwnE152UFTa+YaJwTQr42usyi+R08qAXOntK/J5QlOer4bTc/
f/c4Iv7y9lHkwU9B2W5JbqgvAixZU5PYTD1JkG9RuhgGmCFOooxae3PaaLB76P1NQARSY7zClhjf
moF1KcdlQweMxoarHtOZjiSNsifNLE6RYe5kmb6GDls4DZwznAkEUwz8XZljvinceQbVBjuwjNgj
3UmdhUqKO60QRF0EWb1nkuqzqXCKu55KsU7gKPRWdGNayT6chlcKm1U6RBuqNn8M+nYdxuk1sSo3
VTYhDX2fapPR5Lh6HuNx3kHPnXxors55WXvUMjoUbnJduzMEuZD8mgUe5PJhRgziZq0bO5nJ8M5O
xTUlK/Q6j1c2VJ+dwHZPL0neAuj0khHTRVsfOYiOK5M+igNVzat9U+9iEq0JpTDxLe2Fk4ZbUCKj
D5XOO5gExZ5cd0l98pLmaiDbZj/nDTVeU7rPhpDOOmRuculadJQ6rwImV9g2vZ/A21hDJF8ra+6/
AzYRh14/DjIaLgYyryK6h02zTYy03BJGNx8KMqTpZcxY/Qp9qxVO9R7HyXsclvYZsHGCrCVbIiiw
a62pANxO0SFIsycg5Qdlet/wO0tA02ptNVNNn4pfqJIg3g95kPhZ3qhzUjY3Y1feORnf989vSMkC
9OlxckH3mDzCeHMcSTrdV4lcWOqKMkDfdFlWMBEHXFMs8lfGyuy21Q45n3EHaHo8zVGnPUeBpTMk
+G/2zmtHciXLsl/EArV4dS0iPFSGyhciVFILo9GM4ut70W9Vd1Vjpgf9MIMZYIBqoArozHsz0p00
O2fttZfTcZyJ5iYMnGf0EOtZx8RNlQp/xjqcnpzCLPeYoOXaj6RJkVlTvJI1V7fBGJt/rn+E//9S
+1++1PDr/tPf9hL6/pfyxHtV5x+f//pCu/6Svwe2qEDkbcHn3AGx84kM//sLzSGSzRuJoLaLos5c
olx/f6E59t88ixxVBM3JK235uPwDNop4C1KowS8E5YNet/87sBGD7v/0weR96gMUL9ZWj/8sybB/
Zo2WVZbPdLneK6XlobMK9VFnPtbJEGMcXIg8D4ICl5LzGrP0MIXJr5NjN2KTISiNfN3zwpeQaqrv
qEO9RZeMsYO7YkQ85OPZKOoUuN4AsvS8+ORWrMWScf7wlcvgK9s4yp5W/lidsXe7ZIWJbwcN85wu
yi4YPbu1nrMXu3G/OXwiO8YMVMhW7G1cWBzzTAAC0fLu5aqebbM8sJ5LLzNCEpxpeXJmt75ti2m+
q62g+lIFD90FnP2cMtwi/POGO/KOxs52DVCplinsi21qVCDIwNYuSdpNF8XFb69SpHVn/qkxI06u
lOhSvrVJrZMrmuTVreRwNOrG2QBe6o2oq4eWnkGWWGl/yq2pwmwRjncKdeW+gRFgyiUba1w08+o+
5VZyMAq/PjfJoB4pn/JI9dYY1FDM2fRsc4HvxvEpo8fuIlN3WNnEsfZGFdzbbq2f6dxIfkSZdW+Z
P7gPlcn9raE9hVID4azHrmm3lR9nT8DHNjLv6QXNvrhPcYjy6BDeUfGzPvdVnKG8DuuXIR7NPcuM
RZeUUMKaUDxO+vmDrGp2oVICoSiSH4sOJS4HTzzt6VFr05+Y9jTwHnSKUvnizWeJgI9kar/8Of4z
5VM4IygaX1O7PRSpB7luF9ustawHHRbMpsK8uEdTGb25/tjeWFPrnukBZPCp5vLbLUzsKEUH/MBo
yrtMcDeXem6XVzRZn6/WU4LpIV4ZOaYTmEQ3nPCSxZj6a3HgSc5cky7jo1Ub9q2Ygp+4O1v2G+JC
c0t8MXqS3JROpSflZgbM9GjSVO12Tib8LpXR1uhoLWQfXFuLS5TO5BmNeXq259JizMVgJnEb8Upy
eLqUEzXgianNm8kWepOIis6AQA8b/N4kicH9UCYNDB64PLXyYKYxU5da99yV/T+kIShcUKxxhC2i
HRfbcZ029njsectcCINSQ4ofNmIAtyPJFO54hwW/osLQO3x05YefGrD/MmM15uFdYa+aWNu8Qx0l
5onLWU3j5DipZm1Mptj4+Pq27pxxjESuc1v5zXSwhQr2JcAOc/jgrh67feXUjJnCub2Nw9jdeHR+
eb2/WvZz+znRqxaQvMvpstITQx27+fTSaW+5ZXZOPIaTrTKLhxYz2q5dZmgFJRmuVbg7n+HYnqqq
GvjdDN+LbJzoWjZr/WBlYnj06/adnq/Pek5wb8obnABfua79+xmw+tAai2jVqmIePsvviOPRWQ/W
gL1gfhyk+0iD2oR6qus3HDKnpyTCnuAMjPNiuPf1mLH685pLl83j1qesCymtT9UV8ie0eANzFswL
+67wzTu8Qv26mWrrbOLiPTXoDraqb4OfnpjDzm9857ZTDl8mjtHbGO7nCTU2P9XRhUKaonEtteZG
i3B1x+e43obWtMRe53Z8TZDcHZ0gJ+RXcMLhIN6cxsDIlmmA3Osmn45F43FVtzjHHSlHnPcU2sz3
YTJ7uyRwJLUeCXPpeKKkHM/zairAyTwYnJXFDnhfRILGszjAbT0pTq3KY9gMHP/ZkpvAWVE0003f
mda6YlHEorKJXxkfzWsu2mwkowGbphhrquaHkJqwqP5k6tOfOanRfxQV5iNfcnIMWcqijuOgTweP
PTjP/l/2okVkVFydRjGJ/4uE7wq3aYb2Mtc52Ulmgt9jVD07gxDbdsr2Brl35ojyULpNsOGF4b3p
2nhQcrhMGX9ypGgpBBb5sUW8RL4nf4MwnbdVGebswHpsqw2xrbgrI/BRZERbp0vpv1iETkFPZaJc
JE997Zn3kiahwlTlKk0i0md0fOOGu1G5hxrOwZ9VOO45nxHlUWj8VM+a3dLVH+VRSfLEhibbVGr4
LkKnOAxNYm2okril7PEhd3x3U+TGuJtD3a0zSYNSTxpq7yyyKsfjCe4tAquRQTGzXk67TIkfUh08
537bRyvNb8C6r53e2pzHBt7dCoW+9mOAgMWWZdL6hCusY30iEaEuPq2ME/yj6bO75ndfl6Gmb4im
y4Knfpn9cpzgYlcJsDv7Cfwl1Vb2hrnyFmtXuvi7usXkNSL8OAaL3SvmT/7qLcYv6eRQ+iIsjrwl
DlRKtE9JiRhsEir21pZefGHVog4bF4mYWHRiAXLHc4Nw8KeKkADxyV1eg/gfy0VAJrmwU4cjo0dJ
mRwRCLX1TfVG+colzqvF/zpfrCrhGpPavGYxnWEG7JmliqwxGR7yUMU2cUJhwCzZkTeQFuuKo/Bi
iGNSnTvQtNxDge1XvcidllQGVIY190dYA3CIsL2x3TBZ8f/1w3Ir8nZ+XfBTLNmMPTnJIG7a8Afs
aPhDgX18ESPr1yH27LN3lbvpq+gNT03/MfMa+slnM9y0ixbOuhriJp+ypA1er/kXU2rmaFetHINg
FHNDmYkHhBD9Zmq97tZYXHQeFRjeCsrEfOHRs5QrIhaWokbLaE/D3lycdnMIRKZYf60niyGYgcfl
WIXTXOE7meJ046TyV5sC10oR3oWGp9oVu4yXKWNn0DYcURKz/aHOd/zVVkGJ2DigxsUteXs7ThU9
hG7zMgb6vqlxl2CCvlBxsfMVM7beUW9W3z3TTAM/UBfOA3OVZkfwc9rx2sOwdbX/TYsIMF+UgA3H
isQrvvLU3UN1HGYJI5gFh6Ef1GYYXG46s1vhi16KN7aJ5oEh822Te8DNJv5UxpWTYT4WZvrFC+1l
6PS39Fw6wwbvwsZW7BLLjdb0XfHZhfLkvcspLE63Xu0Hm9yfp9tWuuY6RrmycSZXXEhZ7kovTlL6
TgK5iVJXXWhZJmPcisFiiZm3m5wdzi8ev+HNNEtm0NgH3S1HeIBai1Onm17MpsjOTKaNTaYH5yDQ
1z9wipuemrwkSqIH794KiXNV+TcyQN43o6vOir/otSjVrZ9LurxS6n+kR0Mmrhm5Wbwqp9jO+g01
1uOB5kpzDXf2kU9+C1qCBYx6MV7RsfDBzbGuCemPm2ZOvRs5xNY9x29xCgNtH1pgNvSY+bkyRvGu
2Hos+H64wbyYIoybjIE8dc8QHcXLXRRbFvR58xGWGGO9qGtJ31bxagz8ozAoRZKifxN+9yF0420y
m5H/VIm93wNGxKZlvHpZFb7V1WBsM/j959rtNpW/3OC9KUOfyo/uh/0BfbyZ5T8M05SsaTNDwc9i
Up7AH0oEDuLA1YLk4dD7/FCr5Abmt70PQl5SSUNBXV+rV5L24oY9XPeOe9SiY0pACLNQM3jwLITk
UMCXIHvms0NnJkvbeD0kEWbNoKBJxHO9fatV/FxPqXigUTbciFTEj07XYqXNkvbIGWx4bOyyfu2S
jpV0NbBHgQt/tI3KXCE2Lr+bygr2GEvrP1HbxvtxaN11KDhBtzg3byjCgU2mwq76YIUAU67nnNXr
ENpnKl2zpyThlMdqRmQvxCdcHrWt3OAqTC5WaZr7xKnMi8UmFSsPjjg/lfIYL8pqRE3J7xqJ8opc
gr1hE119u0JFFxb83stkWcZK9YO/8jEjvNMqkTwWIi+fGqJqpyEMod1yK9P86G3MidwEtnxj8rWU
y8u1Th9k7u7mzks5sEl2iSmjGUOOwyUgI7H2B1FfXMkyvDK9YEsz0s+A7Z61AXrTXV1OHN1GJ94x
BwvfrbFzzgm99Y/D7Mvt2FvinMjc5/zpYx/qPe83V1axnask+mn72N5EXACP6UQLnJ9k2UVbaXYA
teVA7tbi1FAdyVvDjXZkBEILJ+B9YQyo4BNO5mEWWafMsLyahWp+sefurjJTG+2iRyo66KsT8n3G
hy2tjj1jzBtv6Io//EHFNo5oBwByY+hW9uBeQzn98eL5q6esahUSpVm3iHU2Vjfid4ysReSQ8Pyk
E+kcp8lFFwUnRyu6tTEdbfzQ02jZvew1W4xMw1y+N6Ge10QZgtulSL6inXZXmxgtGlsO5+WSD59S
/7Bt2YNBR+emjybaC1MEwBBkL2lqGw4boaVUm+/cptQ+SYOliU2pzrpxOYKthW3XzwkH+Ji7nH5J
TM8n92w+5VMS79x4R+PR3ipEcaIK4yEf/E2QDDxcJo7kpkk5szXh257Frk/AqVAR3eWu/OTjSUkg
3pILZAJyjqljC9jDog3YYvbdzBCWnV/dAmfyQS3RQqPy9O9YLb/PqXlJeH5uabk0l7NBRm+8YWx1
a9hb7nnxIWT9uSncrHvQbZmxrpPioGU0bw0vrw68KfKTpdndCl2Fd2qe3L1kQUqsPbnVgYMwidNo
glhUWcMKSgVArsgJI1lNjE57juxX2+bw5IZrV5SLMqopE5ZkRrHm4HtIm5siDOGVEz3cMMsjsxIa
o36SXl6/V7HNl8dJrZjmkHo2VnEagCGbqRjNNQ27D1VnGY+j61U9ZlJXg14t1nKOmZ6GbC7qS97n
Fmbhuru0Rsk1F7M/TXmFCFfwqwREIDTfFFXDLzb85lZo7i2rPmNzv6pq+gGAsq09vGi/Z2HpP3b1
WJym3ldHb2q8R2d03b3Sdvfld9Q8bdgoZ+9NE/VfY0XJnmxbvoyahyc/mugcE2M9wmqHB1Ri00r7
boE6WNL9BFH6xl16eNHYPp/Y9bmXIrBx11t1M698s7tz+Dt9sCubfxnWfS+JPfy0ZW5vuQlhnja1
dUfbBamGMY7WruNo5gYeq29ZG9Ydb1trW7ms9Dl9VKtpMm6guQH3iSLtUFGTTrKEsSrLxT1nExnh
mA4FczHbKHgKytHYRpU9cOBuqlsca1u7m4nRJB5PLJ1kB3/SBfAyxFnUN78wZ3104CvzlBmrfMi+
i8LNj4HoKM+g/9icRopOnfFVcvkJ+Q4HjjXdgon/buDwTqzT04f/LXPP/4dilIvn6b+caD5+5B+y
Tz/qfxlq/vWr/j7URAwZ+Bgj+SywWguYT/61pPOjv7nIkZa0sYVS6J8lVDQ6WYQdmcT7Nk2tzlLY
8Y+hpvM3xuMIqjzHwURpkiD/h2Pz75sx9Jz/U3lS6P/nabtF5B6XRYhuMnCC8Kqh/KcAZWO2o1Eb
vdyZFR7lvREvlIFdepz2ZMS6gJE7HIIctfT30ZVPEGwYanpXwRZkF9FwXdlUB9ma+obBGZ0bH4ow
W3PTgXkIhq7FRnxlIXJV2eomgpBQV1aiEMHQ76fOYRKndUvkBdpuWGPFi2+x2nUdYbjaP9ImiFFV
qapi9D/lxTvFdePA4RD9z5bsFCdAYjFw+2YdJzdjqP1PRwi1TQLYj1FHGOQLa74VRmhsq3Yu1hHj
zW1L1++jRuHxpW3T+JiuFIlZxv5nVfT1m62SpGNWutAmlRcTZU9cIBRtBvkrfYcwBtRsst1qBxjU
Pf6p8Uku8Ep25VjMBWmh2TjetPM0vjuhC/Ey1GYLny47E+LqysRc+RjSgKm5Ka/cjH9laDR8T7zS
HSjBCktxe8eDV/BAsVT03l45HDJh7LGyK58zsEdNVsKliQYOz3sPyc5ACw0psW034nsupbM0IF3J
HyNYKKAQLT2Lrxqo59hYdbeGaVSvSvUMHey+lzZK73IhXseu2om8zj+dXhU3Mz71e+Zz7ndqWeNz
pIhoLeQScNIwivrUFjMBGacdRupZh/aFvRYw3JVpqjwsmat6EvTDmLPyXtIrAAW3n2zEHGULrOs2
j5af5IIAiBxf9NCX99S3pg9EbHLMJHBxB5Jucu8sxFX+F30FZBmEEN8KLCtcCC3GTro7+dZgGWuK
GIC4lEFDwAGpcf4BgQ/mRRkAyJcVtCDMQMb0nE7wL3QDm+YvKZYuxjj0p3bF4RBIreWlsVT0LGRZ
dIXMrryZKofxna1veANoCDSbXdk0feXUUnrnY45CPjgyTsXa2Q9/wWwDd+4tQuSFBG0MTeiRukTu
Y/YywQmfi1xyGyg47PD8lxXtvbqa7+MrPAe32rAQxMuYLWwdDuH+PGoAx30Jl0JjoRXW77WN8Sq4
wnlW0/lfbW8GG+sK7zF/609ZPKESN0dwz86rhy30p/8eJTkb8crKLEZwiiZGUjcqAuJsbVhasgNY
pZHH7Bg6qJ3ZQFdh1DSgC7nnJ4/ubC+1KWkevZlDJl7xvoWfvg7dczBoKjnMBVlEL1JAkIevSmeE
VBuHG8XUW+4HwT7GhwlpEp8Z1UJCRgsUKep5mDaFUu6p01CelIVxb9txRVFvXpPKT9pTuFOWV9qy
u5KXdjEr51BMNkRm4ptLGYipwe1in/PtWVwJTmgkaM4U7EGvR5/ek/X4F/F5pT+J+SLCnEfX2thX
PjQKrTil+zNclthmP8HZINDDu8QH9qNxjeyjuLKm9oKdMvOxdvmCotZ8w7lDmzL9gqxuLsECrY6m
Ob+kkUIjTV2A+9UtiGt4pV3HK/maLBCsMddIpGoUC5bZRDchoeZnPlHofSpCmvGVpeVlMr0Xairp
cglhbTuTNRJLnMTee1ZfsyYO9FfeueM+SKQgRgW0W1/5XZVbiuvLletNSn9+4mHjVb+KKMQzkRvh
xb7iwD7nh5NM2uINdp/1UtiHoMNmWRmvYuGJobBMZvDM96HH6PFecTSGe+L7TU2m3Xz3jgBPLq6o
MhHCInxxrwizuuLMLM7ot3SvmPOAThl73RV/7hYSOliY6PCKR1sLKV1xwdm4V3xaXklqkOqkh612
Fsq6t1v1US7ktVoYbHuhsb3RM57cK6INJBXoBaAE3SaRbW/RgeoPb6lFPmQL5c1GAOBbA6+x8eih
wBcevEeq2m6tZgi3FnUN9aGLezd7Mt2KLmZNZ98L0wbwcpWGJe7RyDkWow1+Xrgz509cq9Y3c8zg
jjSX89swdHVvTxatD1S7v5RA8Nk9TTVMFWiI4qrieEP9O1/497r0R9o1Fioe7ha9W9Y14daYBdNx
TXV08CtZaHoATLvaeBXhee8v3F7iOljH9EevXbYzPWHo2GNH0AQVAcsF2ff0RMmIN8f36or0B1kM
3o+PhKeWu1D/cuH/B6eIDyQTzZ1dReXaXXICxZIYwDhLq5SiZIbwIkVEVqi37ZIxiItevcuJkQv1
TEvezyXAW66W76GxCsug5t7fOXewmI+K0NbG8cVrk8D9kNQxwHH6kOIALz5nTqcgDKX7PaY5Gn3A
yDViEWoUdEuL/JSRqOD6imvxhxzgZ5+4xt7K0CL3MfKEtWJkjc41Gd3XvuDCtW1aKGGiV5I0LtvQ
wTm6vsesl5FX3h4Hl+j/ik4EsqmO4dPzm5QTlbFJUKp5N3YhCOyYht9NIxqyfFZvvaQA95QukCL1
DgP843iZ+fh8x75PTHGgVJZAMJjzcpVrbtw+Z4UUmfmBCIqxtbUgEZ8yelZjT7sWXwi5KZ0sP6JT
o505z4PHwiO04Om43KA1Jv0VZvafMIv79zJ05GacJ/lpkIpdM1pwM3wveaNWrhf7l4DNCvqvobbY
IpRzvjK7usBGljeG8ewSX6S2ZtBZsw4LJeqNLTI9XwRhEHtb8YFBQ9NCsG8Tyu2tre6S8dhmhnMR
wIkZ9KGTNFuKc503G7ImP0azI3/ChUaibWu4Otko8a0kpTA8EXRAUsEM7+Zr4SyZ2uh2mNvoxsRi
MbFWVOln1UqaarvOoItbp/1na/cE0vuomX7DvdBvS+gUozLb35lypiQmAsFlCqNAb5JMPCY+fbnV
tTq34Kd8a3Uk9VeqcAJ/ZY/+qajI3bR2w/WWKLd84RBF6BVjoP0lxdS9qaZPTyXmLfqm7JCoDy+l
8ZJABPEmYR9vrINrF7B0rPxOBUtDsON7Pck+I503VtF3/g1XsOpI0x2tJIqHHcGGbnn7cUEnUDMu
LcX2UlhMEjaz1xQshdSTlAz7ormhbccJgrVHh+cxJA37lg9C5Qcc6OJBE3VpNnRZ0pusrh3K7Icm
xCRWnNzSukROzgHO/GA9IB5s9JqPsaT+hTGY37MB0TOj/ErZfE60hz+5cEplkjfIN93S+Kyv5c8G
B9MHb6mFVvHCxcbXtmge495LMXAq5pGRQv1nJknubXhtnE68vPmBDgMDLq7t1MlwbaqmnoTok6LA
moNC/IjXfUpuQvI15qoRS901Nw7WKEWVBcTiRM5ohQc0Zdnx0ptdXCu0keRRDNtM8blWWm/5CnQ/
NJNbj0OhU7mx2qh8SJdabluY0Yu9VHXbOop+lKPN58kIh3O4VHrTlwIIHi9t30OTq3eevxwXXNHb
7roKZQ6Uv5SED5UZHk1Cnq90lQC9Kt4xr+AnbY/5nfgQDwEzL+gAzNjTudeK8gTxdclJ2WTvY7J3
C3Ft0AV+YN9A2/m1+LzRqXPMpO2XO0H5CwVMKW83ohmpoOSVJVl2mnuK1T3lQrgpd4GasxyB40ZF
ZfRHs1P4kh2DSXhIVdtbKnaTF4SlKVmqdBg7i3I8ku9rPr2pe8qgwokfEYvKd948UAaJramJjI+m
k8FhIo0RYvadSw9/Cv2y/QgAxXVnA2TThG+sCazw0SPCwlqeTxriQMzkHuWpsfrwiI3IKfHz3dCT
LcFIH2wT8uPGfqRi9+jwfeKDORthdUMwoB3ZALraucyA+t6SIEZQEXq/TN4386mIp/ihiDgT3JfK
muuEN0KU2DeIZ5BmpGz1y20VJmprm5ibHcbLWnNTKWuvYw1Wp0KI23RuOB6R+legMVZbuRckcXV8
8iyp07twCJR/56PHGg65ZE0wojN4wPAtjJvQ40zya2L6Nu8jMXnOTo5zmh1ZKWaEnpK2qw5eF7Pm
JzE8yd/VPJkfUZYX/rL/9eLfhZ9QXhSMiRXcJGXvxChYsoH2KgSTBGhs4gIZObYpY7eUTLb52/G1
7MkEdMjSBSZDQG9vim54fYvhUISWOrlTZZHp8qR1wKxW7PuE0SzHQH98SmuScscpw1yySxnAh1Qa
qyS/bVzKCdfMvBvi8IUtd0TmtbHpk8Hf4z6I4pPTwcTs2jzk3UXdUhCfaqEmYZPfsE0wocYn42lQ
byjfx4LjdivGqbotF+6XTELqzdXKH/qwPVEwP1HmRuvyRLi8CtIXXlK+PBL6rTnmmMNww14nNKHT
M6mrZ3IKbv5puZZuHhLVT6DibQaDI2JiJ6b09X0uoug953C3tNVDAWwkfxyyVF02zQcrYTNzTqng
odIPlbDLniDod4G9yOTnsDPOWVW8RzmLkpVA4HyfFrQhUC/d/jackYFxac73uUwecy3wp1IUhQa2
jIbSXs2OJhg0+rT8ZXgsz3Zf8ZqqUyP+A3Bj2EcryIktMWKgd74v0+lrSjrHOUoEZxxYTS0RX5C6
VBbxEdrrabW1PZgk7QjDxclfPqoE3fKmJgZ7Tka+sZxaIA43cTgxn6PEXn/KIFSLhSc0KYnzu2oh
D7jXHDLZUdgpNfpJmTgJfx/hshMps4Rhou+U9i2AmE42/GqTMXutTWNDf2dUszZMR3REnQlvitv7
W/Doz7ajsOWzBCDh65W33UdFd96R/IGBfTqIackspVr31WxRKpd4aJjmynPuaA11HtkVu3sqO6pj
zmZ1Rg/Ej8Mf/O7M57L/xU8+OrhRQr1D3wRWsx1meWzNevxIpJm8TFPWv04i6fM9mS37pB0rOFLb
M0G3hVb5npDMohoMGZFJ0RsKus2gvdYkU0yH2iVSClgHK08V0Vmcji/0UUbnkOVktRoRNwygwfEg
mP/3EXqP2BebHqsOgjt0AXoz4EDiiS0i/y8G+v8Yr7n8g77+UZbzf0c7DjA3GCU7FJuDhWnbYAz/
FZh58/H9UaT/PMP8H/4Gf88dmH9zMEQ7eNeANRlqMp38e+4AFtNZjGyo3/gv/+SEcwLEbxCaePwQ
wjFu/A9ME4CTfzuEv6bjRBgx3eC/NdH0FgzzP3B8w7Z4nAQm//eveKbLDou6nD49cF2qdop/eX+V
t+w+0e5W0MGsredzYNThXjmsXM2ePq3GDlPFeqDPL5yCDEpb+TLTAD6W3YtHLfxFRuH0wrdlqQnN
EMftOpiJcpUNIqLEK5cPQWG64zrI+cSvnGBuMvjIBCk9A3sr3krq1JieEqxPPnWojfaouXrcSttz
TgR8hg8dT/Vnm2K53HZu3iIOqGkDnz1ireuSmat5oIPS/91NRcJsrYlGCuhhXExOmrxvj7SpwamI
KUUio1orF6c89LOHsQ1IzudzJ355gaqeVMgNzC8Um8xx6vx3G+jifhzREKxHbRd6TZNrWe5spCnL
rTQ130U+Fc4qcgxCVhGR4cexJoa98nKH8YJnjCeIRvdET3ny6BnE+1l12U+2l6tXM+68+8pIq0c8
A/4eGwIPlJKuZG2ONfWsywNKe5QDsdURWydheW/7gxHutOqwGyW2Sr+iYeTv0ShlGm3Zcmlyk8Uw
n1vDd/6gDxufTJHMP8j4K6DvpBXvs124d9FSOL5NZR6jcXUZnrBwQZPM6Li/T9vIvFA7xCA2GtvZ
44Yx6X3BE5hdH+uw58DyjReB1wjj7BCYz6GyeCVGvpggMI3SvKeuzv7MrUGwAuTMZtl9kVD0mMh7
ptRGs2raugqYMMfRGRC/v8lr9l+0jnT1ISC5zSu1EhGzaoYNvyu3MLqN5yr5A2Mw/vIwOw8rSSGb
xcAFbU4QK3QALVTiOmnqstz0kWvv2WfL6M6LVMmUdKIOb+1FGi3QZJRNxoUrGLNVxZDV3YIBGs6u
cufgp0aw625QEHjcj/KaOTtTvdKifH7xG/Ve1/6eWUy9mTa+cx/dRn1XMUchy9hWJPp8KpEHjNQB
gz9+sOR4MtBkfn6am9ra4R80bjjypI8eV5mOn76fvFXSif9QaBhMJxzc8U+BfILNJzOyL6x0ZrUi
AGzpvVPFMx8pXEjNLuictLnXpW3dqAidBDEQrBTpMMgv5iHj1mD4V2/MrOJ/Q4kYN5aRNWgslIp+
u2gI83uUb0gdXOYfRwaO1bNgVPA9eXP2PiZFDCIR0fW5oYhweUE33i43DeSsLj2UxzYNUljT3EfS
mhnMQzZ2LdhgArf0FtfbRO2myGQmjEIn/Il059ubQkbWNgw4b6/02AcPpool/Vkay0tZqfHJKCP5
GXWefM1ztsLuOM87T0l6KXjx+TCfXaQfsFLJ1wHem4HsQJvzbImdLlnXbIHGKZrNdMx60Y4YgBhN
6m7tti75WVQNXb0zwtdXMOiCqlKgxi3dk5LxYew2x5pGT3tFhB7XLp9KNsXmwDgjxSEDQBf4W182
+ovLAiI8K1dBtOba1t+WRTk90p6ThrsmbtqYzsJp3IvE8PZWW5rHgLKjegX9ar13UTF/94ZM/K3d
mxO7yt64VUGa3EaS7upl8hI8DlWbPWltMHRneW8dzcGfDy5F549ZOOg7mXB/ZWZWG5ukUfVb06TB
VqMZJqsZx796JJQZ94Nk3uUFaAJMTpsRRzJp55rdMP9dZ0NzRw2ah9QnieATx/Go4m7+RvPVhIw+
08baF0WDl8DHbIMdt2jhfly01+xR2uI9IHQ+0F5rMV3xRuQVPMP7Z/52ULCYhL/vYF/kWpe9mE6G
Nw6AZ6F0IqK5ecM531DF2pTOwEWc3qbP0nP8X72r+BByNI1sEk4i/201bvvmiYFdgBAd6w9bub1H
9GbxOiNVAbftAyYVe7s12xeZW3nxaIfoY/grcXjoQGSJjUMyyj6n+WQOG82Pfylz6sk3+S2X74Nd
Do577MxJOnetaLvbZF5aNwZOZQXAgx1dOhGUn2OapH9SoyNLKs3sF9MGqLSodHjdoBcM9zmkFP3M
jA638USVEUmkIDu4tcmkyGjEeHK1GBmKcKI9MXElXORpskDoj/F5mrmtubYnCJp1GI/3QyvIgRsE
yPe6SvH0EMnd6ECV6JAryyOL4Dj5jQNR4K3tBoEC1Fe61+Ndp0aogJSyo3bVSWKyU962W5Z/NR1c
wjVhPvwq/wxEUW/xrZyHMRvUKmd6B7fIv+FD2wTy1SnD4dQbnDjWCbxNChYPwQCLb4LqA42d+Np4
zSucC4Iut5cHXNj7XpYz/gVOsWXYReferzg/FCJyV2kdlafUWUzIVt6JYpPJ2GPaMc+oCwzP2HfW
oxOOD7bVRIAzev4ueRvwos76X2VdhudkbsY1JBZYRi37xzpmluvy8tk7Se+c6OL5CDrolJnBwGEe
nORg91I+O6PnHMKCwpVVWpblqg8t90dkUazXTamje2VZzo56LMWZOuAuZ8V9tfWhzQ5xZM3IXbOM
JSqeW5JSjuhv0BSalP/ExW3p8SBH/FMDCEBmNNi6QstQq963YlRb2rD2Ml+kBXMmiuOcyebRzt3y
ROG5Q36tz88s7dyzSlUoVlmr5Bt3fI7sFBd8+VNsI62uXXHnAh4/1pUZHFAAEoBx2zhmWGfY30xI
uSpLq34QOYNoUc6Zu62KxD2YXt8+o1TN9oPir5+cc/qGNZIyG4SNLB0yP0EDFuTBpS4iauOy3jO3
HSWcCGh61DP/Rt6ZbbeNbNn2hy5qoAs0ryTBRhRFkWos+QVDtiz0QCDQBICvr8lzTo3K9KnKHPV8
XzLTTltsAETE3nutuVQo1guGw2dKpO4nhbx89HpvOjFygDWkixx3iOj8iL4FhCZBot7NJ0/E/YLH
loaAkzPaGsrphW4rwiihq+RXnLbpuYoN5x7Hg1+tibVvSa+WPYlDcBiHd9pbfuSPbfBkuHSoWADi
5N0nGJkA9GycvhuYDr4Xg0sfAZHM9CrD3Nvd2JbnkCbIXTjp4ov3qx4Z2sw/yC8jVXyRc8fxLFM0
8UeFXjacNTaCvNMi3wCWDeyVJ+b5EiQq2Pqz0K8Lrrqtj63mI7Q9jhqyK5Ag912s+1Wsega9dusk
Oy6VvreSpGd1yGJ1yRS9eY4vHiCpHoN5yOo9EYkuh1SR1Z4bQ7MbeqXig1QwqTZBONHyKq3UekB1
436zfY1V0+5MrO0Zc2ZrRR+dkhp4W3DMCOOo1o073bQ3OmRYEcA/ZNRht4CYIFeod42oll5lloLs
ypYyPmWe7TTIf730wB0SLgjGsv4jQY5kr7QIrCtFJt8/hHpcPkmVD3t7qspX103bK8I+3L6Keuia
zy4BENaYrA18A8esE8HZmgbzF6POAL0OHktEPYxgWABtBrqrIlDiaS6HLI3gyPHUadWlNTzORWYb
y6CEeQxENcZbaloXw4zdNBskNzJgewP5sWnYKsaTnXUyJlq6whYDlc3feRYa07JEa7BZwNkuqyYs
3S/YwaGgmWBYL6EwwAkGhvkZBOUw7JHDs5MXSvVAqhCJogajbpZAdXMJUa1nPETl/2WDPLvCN0H7
HEor23LGpK3jYu9akMVehqDuNspXLFGE2XnbmVNbvnEB1EZhGqDeMgf0257XxR+hbu2rSdJ6GnHq
DY21qkJRRpP0yCaOEbV/lUjxOaOBjwnhaNNsGdtma8T1FCmM6YpJErp77uzBiiDZNh8OTD77MR+T
MopHb1rxq+mxMUsyUGpkubhHGNPQhlHKJiSyTR9joK8HpwiSc2FW6Ppnr/MtKiCbaBvlaOKkfH5k
8pLD3ikYqzvyFe1FgDIvjMuvhoHgVTnlXHDUKbxNGbdwHaAlb/xh4iKrydj3jrrlqDqS/EiTE+CK
9g8Mwrrv6W2a3It40cRKmIn8SJHxH4tpsTngW8tCTqAVfs2uH9PXxVA2nWgnGs8jymQSgtJOHBIf
SRlbu+XZgJGG+I5Wsvo5Q7boOatYyZWdGwiHY2e0OxDtHxjNQyybpgbCl0GvZmx9wH7sIVGi7DYC
y1IAZM795eDmab4yTH+IQjQD6C264cSbdu9cxyZOIOtxuRdhDSMvI6Rd9GWz8nVMvmXI+G+d+5jT
prwYro07GAjtHLhMDNOYDUH9yS6+SSOObnuarIgsEUezsjlOiSKObC/+wTk13Jk8k1Ez9F0EoT/5
zkCg/zGbpnBWRmZh45rt4jt0Jv+SLFYHQMat8juNgXu3GGgYZrpKz9MUP+Lxs97Bn6UXwYgDHd7E
dCD2xHQXtKPeu7JMjp4nC753LyMLtgyZz/sZgNTCtL+14NtZo7KGcJ3MqJxtappo53zXlcgv4Zr8
RHNk/hAsMfuMYymQVAYnJ43xjJvIoThWY8XZ1chyou2dpTw0zcAh2qyy5rlJOPFyhPMePW9yn9wF
jLrvdWCUOuFE2mvo6ie5Nz63BkKCFSuvfSCUgeyKibkoj178nqKJYmmLB8nymNAK7YaRUUyJ3vWB
1M/0zolT73F07VvGaRDQ6nY8szgJwxlQtaTOQ2YvGMHiOs/PqmyTeSPMCiqKOfgHQlTnbhMPef80
wxd7GcphfGRWAIipQ+9uAVb81dKZ3IJnpm1Ksx7Dg6Fd65vdN5zqLaZ3ovXyk2+a/bQyR3oZQC6d
TYa9kFEbFMhDWQ/wyeuqImmwxbgZGtPBlmTYxaU7HVFzBlHh80NWsQFOlW8cxYYAd/dNsdWlvFpb
bk3T4meaffkUM4x4BobPqG8epA0WOdXeFlChXKeOPZ2axrAswG+aiCxIkvWzBdRp66HReWxc+8un
GGRXbnF8babB6Em+Q7p/2z5BsRVBfS0nV7+SHp9yLZe2CbbD2EAzdPG7/D+K81KS9V7uHVKOaPSq
CSqOd5uaLkBlzwtbyrApwxztwf/v6kcfbzZ+579qHO6G/EN99H/qHP7X3/qX/tH9D5cATiJlUCwy
1bH4ef8SQAb/AbObOY9t2f+lcvyXqdt2/wPwPoZv/P//tHX/twDypo1kKUQ0ads4aC33/9IupFX5
h2YhkRG8QhBiXzWZBBNQ9VsqVWhno9dBOIyoElDnLlhAcd9608MfvpR/6S7/ikhCjrzn2mg9Q98D
beT89jL08bxcJzWVt1uM32nvQ7MnHQD9SV+Mu6SS4z+5Ov+rsPPfgoZur+gxQAnQrVHCBr8FY4TV
UgQDjZfIt/AQ4kBl6WW4zgRuVfsO+k1aPU8BSsx9HwfXQZuhsWr5W9/r2WHyCLLurvNS585qRzuy
lwH851zqE+X4cm9Nhfyb5DeL/u9vF+KWGWK7QojQ9Gnf/rl7m/tGMeup9qMibqpPwPUFqCyLf7K5
hRvGEnjNEh/YdhY0n6oxKfOnQL/OCU1TMTTuVzIMxQvo3/4O13zzT6LD//p12v9+n/D2UNz6ZJeh
2Q1uMto/yGQ5fJgyD2ePA5J0T9lCGM46Ezcre6fT44y3qFnVlmyODA2nyDTMZH8zFeAh8nGGTq7/
zZ6T6jxP6dGy5MFMjQu1Ccq9eBwgBXjtWLw7LlUoSBD1WDZ4hIfEKlA8tPL61/fiP4Au/90gv93z
AQ14HiFOwW7Av//8WYJs0WY/OIITfpneIwygLpomO9lMEgCIVhmNjcoxRWQ0nf6sPY03pKxq6rS6
6sUe7Rye02nq31mxEftYVn1fFYZ4m6xi23Xi5KvM3tA84MxWGsm5dobx0DdpGqkkf5cCSHYWi7dQ
9M5Db8AArme0cNm4l7NXHQpVergcyTuFYg28D8YJ8Uo2R41tSqN1lftkkgBLdemAa4zF0kw/A5Bq
ywqtijwKr11OfQ5+AKWfbR5VZaL/z20jhAe/TPnbX3+Xv0OO+CpJcmNxYykKHPd3VokqNe0JuxVR
LRz76BjV8rl4rXfvKse82lPH/Vo3OqR1b5pIzlAQbP76Dfxj5fjtYvqmA+0J744F0+y355xylFZG
N4uIdl91bsyi3ja5Nu8hPe0Q/H8ZOdGdw5xNHV7QIK32A2/6y2tL9cMFqnJqEz1WNPVs/6AbGs0+
sDRkRTWnb4PD8mNDL2Y/jl0yHRMawp/hoK2nQcbNMcSu8AakP7mX0H8YV8gMIGFiTvcIjvJtP3jm
39y5LO3/tkiwNNz2JBKFBc/in+9cGRAKAs3Ri7qiHR8S9OTx7dpC/WdfeTRmL9y2lmWv0HcsF2x9
ydGRAnk5EUZyb9E1fBGdmH8pnZg///o63L7m3y5DcHuwbK6AZwbebXn7w/pQJnM1lkKLCJsbsFDV
fJGSe3B7wKmcEu/++sX+h68hcEPbDk3wvxZ7yp9frGGDwgPZi2ieO//NbObmtoz8XYTz/7Ai/+lV
flsm8IxndJRprxY0kn6ZtOTu56G+wUd7TK7/508UMra7MVwYAPKfv30iQyP5SzGkl70/vjJkcbG/
L/7f7ML27cf88SrRHODgIMTNdmGbsBH//DI2S24wl7kHTUpdZWcDrjDnHeGbl6mCeJ+dYUCtnUl/
TgDs0e0Z5wUz0Ir9JNjkDqJkJthIVlO3uXid1GhsyW8T07WjuF+DMTEjmSXoIIaUHAoAncwcF2yg
uv2VkwT011/Z75dHAMRxXfZKl+hwzlXYVP54xy3ugvLfU36ETqJZx0NGMQ8za7N4jfE3i8y/fW10
oW4bH+WrF1oi+O3mThcO9P5ghJFfegn2ucLYUziOx0TV5dbp4mHPVx3+zYtyFPz9ofLwUpo+xyUW
Np/222+XS9u9sCtLxxEK2GeyuRrGhYHahfGk35y2oT9rTd0VJDxBWvrdJ5thS/KA/ZEntoVsMCXc
CUq6DynHib1HmlUmUXJOuwMHvyt7kB3oN95ju3tvRgvpGzh42FzwELDC0ZKEXOvr6SCKESWL35mP
oafJ5iLeN6Q9lGCKLY1VZs4mlI1YnEgnujEmzHtpG+XWnzRer9g2MERUl6FNQwpu3JNsC7NfoBtl
p3MDoBvNcF68D1cun7W5dOcapcamFiJ5Y7Q7nA3kc1uN4GUTLzlIgBbdO3qvfFfivjX5dZm/z4th
USdlNTEWUzd+2sgZd24Kc2YFmth9nzI72IZm9Szl+KiYfvM5szyxfiJVUpGIqYtJnCGhRYhsoWAS
aitIX4jqLJT7qRTV2p5V9YB+tni0Jg91rZ2ToWXleMUtNdi/Ovo2p4psi21m3VAPWaHjNSr7OFq0
51ebmE3ie9HhOMi6eoLsQah56T0JmaHibZnwEESP6X69tOl8ZA7oXuIUIIifzdHkACFvpj2guGVn
l84+9p6Hm7tucjf9bNOVoSFd6OEZ5c6vnNPlawZ5bussdRWFwfitStu7jizJbTfQmovt1npt89y5
jIUCnDlLfIuEUtEYCZeQaXd7qcLldUqGgLwg6P+9VApAdUJeeBFMgCeMfjyraZl2Fkq7x54I0c+6
47IN6iaRwhX7FYx9uEuWuNub2MovXRlYb7TZy286c3Z1TkW+pSEfPDZNJS9GARhnNSVmKtaV3c6b
Lh/nl5JUi4sDnPlF2nm4bg01PxspeAxJWuMDeHzoAZMyrgUHrYchh72e3+ymFonUvLInH+LFGKJC
T2Y00Nf/MGJLHRqPJA9b0YRMuXr7BY7dJR3KH2r05x/57RNq8zbJiMdHM3F3S/NsWhTpQTWfocOc
YqjEu9zMNY6hovkZxxaKcJNbsnWGjAN4YG2CtrBAiJfLpqf/Tq8TOXgzJeLitzp9KNpmwduPUKgh
uOQrMDtIufTN7ypEeedaBL/SVrzXhIiEkPyZPtLEzaZvfuc3ezfRBl5KctVSDGaroUsX8vuwOQ0q
+aZk902GGodxLyz1o2wsPJtB4e2rsK12oTNj9oprG7y27u4VSImNCpW3z5Ust8oIQOc4vClELfWr
q2rjlPGuNtKK+cNFDcBFTfu2ajUjLMeL+FPks/j6Pu7GX45IjmUzeeg7QqTMtelM6zxL+QNGkj6N
CIAj0hyMbQE78hx3ssBYYARPzjD/6Ej2vJbMfM5YUBggVjVKTScjzaYSj4s0ncuQVlwTe2jqTdpp
ZITERfBQ9ek2DTUuOXTXk00sBjwNCM4OzpJkTkmWj5f0pWeWzu/J5WgilIhE03brWbA6Creb2SDo
8DCtx9g41AOiZqEfsiUuL/hs9akXRhUZdPqRDOQ74WbvbVp1W9Sh9cYF4c26qjaYQAhYMbBINwWe
ldmY7J+OzpmJBGQ3tCGOtqxI2keQASHhPpR23tap3FdQ6II1MMFklWLkxh5CkJU5XJN4PlrViLC0
OyxF/hwXRc0nlsXFMZG/Ya+3P81lKq9yzDnpB3pxd3lnozxVS51vJuWdFZG7m1qmy550nicrRhtB
uiPiD9A1vk8I9iJpoSr7Rz22x5SMttItftQZgQNZPbo7LWndKsN8Auyz6dJpPNVo8u/10OQtTWHZ
vfXoMTegMer4e0J5Nq7SuPK3MLtIH5GLOvakA67tyommrkgehqWDRmxra51qZ7ERw9G2Nlqk3EOG
K2/F8AG+U0hoYaPjO44dza7J8+IIy3h8NMA7bZFig9JsGnknGNdfXa+9pAX8n6ZE9MtoqvlYlFns
rNjPXm+Y9qif3OyegY7zxrtuom4oxEM9ZuUOhPKySxFGfoSWkd+1dP5XvsfOqRD83LDz4X6kF7iW
fU45WEJe6JKmOkhHZCz9oJ8LVZgnLH3DFm4MIUK415X1VaT0EVYerJZn7CT1urNS+Wgzqb96SREQ
tl3ORCD5+dF0nTlCnhV/q5dwfhvKQq5DJChXXG3trhYue2Fq5ztXkdQVNAI0i9shhGgD/00mpnnI
0rC5y52E7TadH02vIDqpcBLAGGEfEarQ3GsCfI792In72BlElMaj+WybaXYps945KOx194gah8gM
8+SEtZ7/6sLxga77J9qw/DkVlYmwJTH33KJROxCaUcFHqRF+k9iAuDdfhSkZa6tScuxefG8+dK4D
mlndyeHMFDGqOq8+3zA2q0ROQb+2pBdHBsKrk9N6DXOaTHySY1e9+TYgaYQfr3Psik2T4umv2550
IT2qkAEc0kpwbfXKAO111xcttlsmLFvXN27d1Zx8KkO1T0RpusQdLmU4bnGYkSvj+HJrzi7Z5lbb
3Fgy3Phxrww4tATsHRA5LZh5zW+B2/uPAX9/NUyGcanDvDwx5v30OtuKzEI5nIBLVT/VanggdG7v
d+5XHai7pFiSR8HMdQOFrNgkOs3RxvI9J3Tp160z46vxkbYlwPuTeM1BLd6quEIeYVnkTzFTDs/a
Cocz/s7k5SYwtFZ1mVnb0K29dOV3o3pw0Ta/+sq3rlXVmye71/LOSZLpNE1T99mJDO3Q2Kbps4Yd
8GiYrviF7ST8GWRpfVeAOAXizt+z4sDYkCsAnyPj0LeNb7K1FevC/EFIn3+PW3g2Vgn+LibHfn2V
tV8f0jYfyUOc0G/kjiGPDAXGHTIEzBU+7sgXI+ZMkqf45TaNYL8eaf80mGHIFHMBoLBVDm387EqL
mY+F+GfVMTq+MVkA23TAashTT23yKjqbKBp8aG/KX8pkgwoDE4dM0ziOctBaHvF3efhQEAK+tcF8
bByKoYnFxhDvScsW5Mu4fPdsEHTMDcmnKrBAr7SuwlNYQnhc5UyUcbkuuXPDTrTdCsfBcp4KGpSb
XnXyLOe0O0EYu1be8sPF0DxU7rBNscneKYKOQNAsb4Qg8EAvcOBIM1N7qA1NZJN5iOeP7Qa/DtNR
kobaW4to2tQVSl1ZBsO9jaRjm8ZDyjArj+8qA2bLSiFxO4yp3kKFvKXeh/BpuowA7ArvDXne+dEg
SOC1nhbMKZ8LyqFA288qGD/IlTkEc/Kd0My31HbdfZUY1aUdzWDfmTX5Gmbl35ewEfsNCrhq05gW
Jgt0GeFDxYRx4wvSyarSGCxaUQhu8kDUp1Co/snooJeQh8SgwZU2tkYyctxV5wnxMWkyFNa8heGx
jUVyKcPpKZ4qZ9+4df0+Mb5uVkoTbkFrSf8a87h/Wiq/3c1TY0S1lP6+NuaELA22vU/4szf8H4CS
xPVQteHn3vEkIyDsVcPsPtf70bSSW6abtVIWdGivIRx0nYR3UKXkBf8qrDYrRGc+dpk8+Bh3X02V
sekEAdL0VZYIufaahZoVucmMt8XLvvg7RM6oipTEdjaIreEYQ1zlsnTGXaGDHABo0p39Erlj5NJq
jZQdVvdICQ2AW4SEMQ1L/R2YjZ4l122ctZXZxrZGDPtkTD4Fg0/T8AU1XPNOwW4e6RA0OwxZIQ/3
EO4MxPArN14uVq7XY1jVnz1Nx+3k9OYHz7AdzY6O98UQLI/MUIdo8sOSYzDAx4NTB8bJTJ0YO9uk
UKrgLDgrDh+RSIt63VglYoQ4yDYZQuNjlQQvCArv7KprfiwM9LDMtOmTOxrN0yIcYz3Ifr5kgPko
6kLvAhXd/J6KMrwO+O5Ptm8CjrHK5OdtKfxe4YHCTFq1gt8srKPKhb2SuRG++EvfP/sFg9bN0Gc/
WVjKh3TU04sGaER8ow942SIh4Lue65bPkBb7lADP+7LPoBotSXshW6O5a3LpHEBC9Q+ZVaEYNezk
G+qZ+CwJhOUBooWovSA7VhzYvhHOi35PIQnaceZBBAWO24gImAj37eiP/a3LkJ1pzI2vhUtjbjLm
6q4Jgclg/9DdBQeyTztlUfO+5rx29Mre+6UtoJlIByHxgayUF4Jy5vo2v2OkKXzq47SkmtwXiqYs
CZ4aa1Me1Pu01vm3rqsUumDXtCLHZHCA24u5+YbDef4yWCLc2AHQZpdMZDJBqorCBtaoed+mY/pg
eGYdWaKReyIKx5XhWJIyMFWPbJP5VjGQdXhKboGvM3prw6rrFwPV7Rq7lQD8tsQUh3UPqWW6+HGA
GCgYi2Ev+QjEbAey/uKXZCbg0uBoWcyBj8zXaJl1TEkgrgZerI2PAChyY4TC65a8zxert+hXmibn
O/53+5Op4YT8cLTP1ljhIjM48DzEEG4/RBrn77Ug8yyKLdGjvqpdnV2dFIBkCXPL3BjLjOOkcTtW
hmS+8kFpoUtUBxRVlUMgWj/vJt+r9oVjmM5rFcfd1wg6nNKaxl19Z7sELAB9R8VzDPEDIbCILR+U
8FwoTdQMDKEzbKM+OFoz7stoEuKN0OhqL5fAuZaLc5t6ZxCuSFLFWMsJP2942oXED9tUGheublkK
lmUgNafIwnQLcUdu+mbkcOsvgYxwrc/2PV3qGPJvRt6gB2IC+ahujcPUiuZUOGH3ko0iXxNi6K10
61OnGcH0tcgQ2Qm19y3gu6l+CEuO206WbJHoMFn+Tbxq95VfLd9svO1fKX2gk7kQ/8FHb9+HWOMi
C2LZ37EVsgxwbdw6mocqUA8iSOaHrvEA7gWgQbejgBlLNyxhPR8hBmxGrOCbFrHqOcOF+tCYIv9O
aUm56Os2+JHnyPVvYtT6W2sB5IwCRx/zPiVHWWsm2atQe/K9a0PwUtKN3xgp8VyNsMFMGJ1P9UhS
FXL2pNgagfMDwU/k6I6owt5leEI/cwfM8K4oNLTxhRbYCmxSciVlvHyeMPxuHVMmR5kG1rkQhUHj
AwENVvmx7rZzDXZxrlo7kkaGMKWyG/XNQWSwz9m+XmFaxcR+BYRa80ms7k4tefGBzMWKtG6wyksz
ObZo1B8lKWhkugMtCVaTfXMDYOOJ6/U0zXG3QTvILjmNyylHLPimqYZ/2KINDnRXE5gt06/OGn+p
zngxKQFWZZ5ZByw98IIax926miW0EfXwqvA03AUhjt7cTbJfo1/dFMi4KR/obLEzVBysYUnZPuJX
jB6RVFm3XiZp/CJQOZYrZmtfmB5Qc99eol65uM/C65S6qUDsgssSRRGu/JXHOHNemQAKV9IiadjF
LwCePqYEX16FUiPzwEX/yMANF+sxmPrzFPuP2InFqb/B7/lY8Sbrp46OTuEMx7Fvl4PSbr/i6Xg3
+Sm4hQ3yRilMCuB9M4Qrlohpo+blezDQh0MfV7nvPtbZs9n6zlvHR78L2IaJkar7AzOuJqK75Lyy
O+G5T9En5fEsHgxrIhkN/QYYtQKonrXAO63aY+hh24z7Vn7O5US7rRqMXSypdY0JOYTTkm21juvZ
XzfBwHMAyO3QcaQlVJHNSmPGZEvGAzjtPLUYu8bsyk2lkKSsksGW5OMY9dZ0lX9ofBthJCud9SQD
4B+0MvJwo/MAepcBXQ5xzrWKVfpo2fQFQ8xi1ICDc4pjnF74UyJSEppkHQQAjrnivSb5BVg1tTZ3
bAqdbQzftOH4pJx6uK1nhc0rWDCOgy/YCPbeuyEH9BuMg4cEJmvfRsuDvAirABALaEBiMPU6QzaG
wTbUJ9IgCkKTTGOGJ5kyraupry4+0TxboJHjUZEO/jNR5DlJaK5rSAnTuciS+gXYVvFMishyNYzE
f2Ve31ASZTFQBXdonQjFdIMLLkeL4tY9vHUDNY4jS/upn2uCD7BurimB5MFaAApLh4h4WENwANti
rJHncquE7lQhP+UsuWObzlEc+ZA2jAIO0A2TmXDcmsfvLKMtQDq4beE2RNJG9N6S9Qem0MFCRF4r
q20HceTaW+THlhzvsTrQHoG+NtlIl0KhjUtWzvlD2zQxIqiq36UNVj2thXc/wf2DNmDVWzJ/8o0Y
O2og8kw3iuD1x2xqHrvKcV6sKV7Vyv6OLuoDTzHytcbDA8KJDw1ZulS4FZW37ufy5MGk3SdJal5l
848gTie4q2ZdnrKueK5T5OpWOaZfrWVbT75y3WcgSfEh4wgSGe2IogcvJRmi+qorbe6HUhQPEzsp
IS0kTCX5cI2NJXnyFhREHVZ5MBJ0mWnoOmiw3GEngPduh66pVwxD3odAmUcTXeFuijFYlsrfDRA2
NvjDv8ipWj7nxVw70sBpTEosmJbFX+GdgicvqwOQkTIi0qzY+WlHbyj2e1jddAeixVlSbAPDdmEc
6rQ115iRbYQw/qfbVcsx0do5B0hZsVsUuL/xVPRwe8E2ubE5bBGaQQaXvR3g1j23N7VT2xcSc5To
hm2OgwDBIqNlGZkt1nCFWkTCa8vrhxEvwDuSyc8hMJLdYEzWYa57/nSA+38wFen03r299HsDWiTZ
KolLqmp6pvfbMDuogN3nl8YQ5o9ULpqliXLY1tVEO3+cjzTAXgpE6Ik0fUKfIXxmGc2+cZAHRwEQ
r3OXWmIqP50+zqDHqu/LktwD+UWtnmRNg2bdBnTLbN9mOzDEVgpKIBxmB9+eOzI9Q7KpATEyyeLo
4R8xd8GyXyiQPcLsVo2DuysgC50mJeWEsMLpew237FiNBSTZxqNoH6YtMj/QrT7+z02ZiR/Y2Nwn
r01qOFypjYNTG7a3dee835eAsVx6LU16R2A3DjGnssS7Gi0j+Yj5DR5PJT3q3tB6dlwfVpEe6bYV
8xgVPLcSu78XLWjowi0DCloZGIsvseHGT62E+JMNYRPu/ACIv3CImG7tu1bYGXP4Uet5P/pL9oFf
ml0RZTMeg8xq8meDPGdGjpaThh8J7mFwpcLx1yYg1/joZdQna7IfLP0ehnlxCRMSSA43D0q5xjV+
W+Cy/L4U0C6XAsQ0alp6oh6mnSFhP0SymN7WU7xkiHqzaw405GnoXVZb1o165+RgywEpkw688jLP
f8fkM3zMjS0+STxGzOyGA+r3kHNzR12HX2IqyRDrbZirs9UDjWS7xzdMNyJLRqrFWKIuCQz1RqNY
RbmtwYlNvX/ne4IevuGvIOQQXLlAyzcb0mtke3Zy+9BVKF9NAueZc50F+zvOs7NjJMcuJ+3UtTSA
HTepk4vgQHLijkvfIS+0VMTtSneJee/P1qcS03DThMo99sSM6dLcrqo8xAUSfict/ira6c2NuwmW
f8wxI8eYcJgKXitI+hsXqHkgnQqOseJGrzKajYmwbyIba7iyd2MCCQq6ZHkpK8xXFZVqb7gTFnBg
B7+WkWBb5TrdmmPPAVyzg7cmpmZyQQjX6FgwwIWdfrqlur8kgyQoOXNoUpeifQAj92iWxalzjDiy
Jt/aWCh7YeA1cfxGvQCLEVVau/ELZ8HD6fTf4c501Vp583RcerzR61EUOQffjLFw27PpVkPCkncT
vKM1zpNwP5vWsEFw69isPxWmGagHT60OLQ5a9E8z02A4IvJ3QPDWbh5ZcemtTqesEWpjx9PyNvtU
bdWaURadDUC32RmP+ZvWlnMT38bJtuud+bs0s2I/cDo+uWHvvc3tYtH8YqzHkYgsJ5j5oXmaSsNs
V77P14AezICU0SXx2aE19JPalCpkyeOHbEwIASKaDthEb6Q3ej+kjhdKuAx7NkEFM+TuyjKPbmgw
L+jG4gU03l4NUm9FpV/7DsNC1yQvDJB3oIP8fcksCbk1XGGTTE4Y30rQ486Ns5MwUmRdyV6wnZcI
NiSVyciNtiphcn7VS/YgWx/sTDbvfFttal02kYcfjdxw2J5LkNGBT2WU2s646RC6YAW0ZbIN58qm
xkeM4m1ckf2wB+BCiBql3lfUn29mHdJb9dz2IHK7/awL+rGbyeYG0VD4sFO24fhUCsue1q3VF/si
LqgalsW/91NSCO3JI7BhoFlH3KybLLwvdMpkMCSXtC0eyEzlZDHK7I7JCSMHuyr3kwohjiigNsR+
VXq5LlNWAze2NBTkNLBx/JiYfWr0yZxW8vwNakH2c7GUta7Rtjx5Ek4Q50KZHQVxMRCe/PGxJyFq
NdoxhVxjG0fk8JKSCSfoQdmjW689oYsHzTnmbpzjBNFvJ12maemEw5P0Sx723rRJlen5yrFLDK9w
31Pqj4W8Zm9UOw2MjGMdumdfsg3qVOxExwlqRVFqn6jgsE8qporg7NvlUsvPDoX8r6aY8BL4g3Ff
3E68erGzK3q95sEJx2HdVGX+mC8LPC4rd0gWC5ZXN7X9KAgNsYEdXFPvCRyCS2evBSEwazcHmsAs
r7hHZgSRwsfPHMetJneH6zNyltsOrNI7z0E9PzfqNhlrY+tbSbvhLmYKtJFFCP8nc4BS4WA6ESwv
fsLHBPtCV4/NoyAAejO4AkKVNvI10Z+Eksje2ZipNaxkYfRvGFXEk8X9eUmlxa2UOBDx0IxfBUqp
VcMcas3O021yFlkaVCP8GPAwdFOKOdvg5qqeskoWu6Hz+m9tzFrXmBDWCYtH2baazfw/2Tuz3riV
LFv/lUI/Nw0yOF/cvkAnmZMyldaQsmW/EJItcQjOM/nr70fZ1SXpuGwU0C8N9Mup8jmWciAZsWPv
tb7FJ86ULuqX5FQmS6GN8t4uom8GOtovZu/EHyfRVD7jRIUYL1xApGKbHnxPEnVVKBOmTAsvyfUJ
zIbDlhMWPVdnKCrnQRmULxjcn8Le1i+Bl11xQ9Gtp5tE8kGbXEWKlnV+lwDY9YclYvjkzoyutyWn
3m5bsHhiPcGVt+O2rigfF5LFkDnRHj9EeGdXajMtGxHxx1hcphGLsW0jGZjdY44ZfmfaWf1NoKDX
6bkHtt5+rJQM7q86EocnFeIg2iFBPhO1cXAd0iy65e6KP8u81O4Hoae+ZaPsx44aboIimD9aeZF6
lQ1wbRVMkJrbVFPvUV22d3LGjWY4GS6hZNbwEWOq8FBthaRJzIQSBKpcu9Y83VaYSo55lmcbdot0
bdmAAfJRLTmPqr1g/KK9nJI7D+RXdVASTl/kgqcXJvbQvdK6bbPsIbo3k4u6aQwAWzRa2v0cSeVB
hqH1SW8otHMOSbtGiQjptXCdjXESb7TWwto+dt8VtxJ7GDNYv20xWKkXafExmIfxijsypaQ2IL1b
ffJNd8F91FE439q26IfVxHmn9CfGxygYfLrGK/SN/FPSJTkDwHY7j+GGMwJvbptbbcyakyGLyjyp
Tt5fELCWo11Shg5koBvvqhifSTtL9WrSI1gGCpnSO1eL8IFZLRoVDRqpTazhOSDO9BSVZLIJzaZp
k4qB55lHr8QFgjd2Tu8iuKFmpSChmpviUimUOztXnnSkneesVKqbooPNrRRjvFS1Re8ZcfxJVer+
49SF9lkfZX+jTCC/k4QsAehowki6e1lYzZUJ9vVeCQiUTRCiHPQidrwOs/w9y8q9JVP9clKW+mDI
5IkcaXHI00bdpmFELlEbSw84nvze9wFInYGMljrrY44qKqsDAqsdZ8M49CrIZJGH/MPcp3ZTbTHf
zV+ysKoh5Eyz+EYsO/VYU6pwnKmTD0lshj6gJPqyRp755O3OXlh2goCvRRqRdw5LE2D9rLTo+1jt
ttbt7qIcgsKLLE27N90Uc7bDu4J5E2faNc3W+NDPrb6hZ5vwW+1xU5Sq3IdQBa9Ku2rWGZGOvhLl
zgE3MKLY/BkP8MYa2TPSoBu3lNEYACfdgAGH/ZzYhyTfVRZdY8sJvzhR9B2V0pNDt9ULmWLHgbYZ
sQp5VWMl27IqnqQlC+gHypageGKdMVYRDwZGIOuPYR0eB5tgDNwbDtkm/oj9baVoE8krYbTmkfU6
zSDs2db2aV/eTpCPUAx5ttpHgKry1DOHeImECKgCh5FBFkY+ur/ww0Kh7Ga1ukh1Y9cl09Go6H5P
msVEiF+5axxC1g3MJwET95jDZNclX+1yqjeKDTbJsWN5K5h/nc2cE2Mxw5W1Mkzg/z6T9EUnNQ/W
tmzDByWKjMsq11VCaEK5zZu4uXsR5/13E2X+B5GwdRhe6AL/eWDtbSwJCn9tBPn5Iz+hMc4HV1Ah
GCaqPoTsCwDmhw3EcT6oyGsEeiKbGpB//3cTCP4Qwb9g8TA0E/0fEscGp1n0H/8mFpwMwxqEnC/O
ETTs76jXv6Nga29l3JaLfJp3JbTFpaE6hvlOaAisTc2HXIid0UfKxVwPEuxGfMm0oLxAyWfDt+Ls
a0B4XOPjG+/iQYYXOd7UVaW2ka8B5oWC3TukuzQI4KBeYXvuxn2hlO0lhsFo9eqb/YWd5C3i5q/v
9532E78oTxnTlp0bp8NuMpZCAYkorusAjRWdDVFR47uZGmx//8L6O/PAX1/6vQTbMhBslfq0i0OO
RzNo4JME8b+Zq7FggK0gPXDRRXYaXAFJH2Vk8oW9wc1814Zpk5RmvZtmDnIF+R1L84HGah19JHSR
QNaSb8/Sx48p4LXLoO0mL7Y51jKOUnfNHC/yn3WNBU4mqonvDz8eo3MSne5lrEyzPzHmQLCeQfNv
s+6219XwKBtUQjId43Vaiuwic9Xi0uyo/Woow1+o78iZUcriGGswYqeMMIi6RFSSf5t6uAUEkEKw
SZSlPQkrdNDUO2Moxr3d58M2BTOwCsYw3iR2B3TXbWihFKK7L2NT3UY0YDdEl8LYCzkJ15HJ7iiS
O9MK0OMPGN/Let8M/pAq90aTu4c2TbKLKXE/N7NQttAuDvVkqP6Et/BIiwCFJTBM6kFQ11OCM53N
BfhEuuod+6HNqH8I28EpgXGHxBJlJfrp44iwcENnE4urGuieEkGBLvtx3BCShv8+jU/UUcSi1+qu
DoszXr+LYJ4wddal35MkhJCN82IFUDuAq6yrFSgOY/TLEEVYPIsezRLCIzFwWCPBQfrZpBYYgDkh
MKtu92ZtqV8H9ou1FQ70w0ytnXYEAl8PnYuzCI0EjbNDMLmchBxBPl80nhHMLWrsEa5fhsKltDrQ
60NJCKBy1vIRDWkN7AOrIyU6xBCgPyFCB11Pj7RmiTCGAITbOdg7uaVu2zgK9nhEHc8RmJurwipR
L1kmDHgs3f2oz2eigS7AJyNk6Huvj7L9rNe6n4JPXcPYKHwYDMpmKAH8dI5L6Sq76TDQR8WZ3zJu
7jMkFPm5lUAASVTfVpWDUsg5Y8qiEoDMLlK+S3MwzJUl+52l0wiSaHW83Ba6lwqHvium0cENmAu5
5o4C317Bu9ta5qc8b+jE6ZCnI7Mk/SftEp8Bj+PBG0HUU2EltZ1kW5HXoyGcPCghQhFrAI4Pp6Fb
FWVrHyZAJ7eJrin+ZNvbcTBul7w8HzWrAqI/UldYNU6Wg7Mex7tgIoh6pU3U0Z8UsVWGemsK8ksM
K7zpBAZVgs+ILJT7KnOAuJARUE3juR05ipax17bRqa+0coeEyx/sHiXcpzmtPtqVRosemV8Ulc6d
qCTVr+2uIYs8yBhUuhXWl7UU/pTl50apGRVg44iyb6qWr9FNST+1QXbDR4g8ogVP+D8i9Lc9Iubq
OibPRam1j1QvFwlHw0ukKAoGkGmyN2HACYEGZtE80tY2+d5z9XZsKNRFKm4UejabIB5Unu1+/NaT
7rxSaZczLxx19yFKY/7Mx9qPMzZgL3WNyRu6Tsc9jXKUNDdKLQS03ljpYKLLON8Lidy77BBr15k0
r52AzkPaS2ZvatXtsEJhA2ZdJP5FvctiELGsfsMBa3h3rl2HxaI1kIuHirqF3k/IHxhZ2KW5rR6Z
yKl7t+rqmyrIuqsBp9MuLoQN4DfhLwLHJv1Vjzzcrir5CwgKJtBLAtmdackzU6kWMGfL/iCNT3Cw
cWKViNBTDjGobIkUV0RZnwTzRA5JDDlaI5UrURPVnUiiut2mibG4MypLlFpF3RHHa4o5LOYYpO8z
MgbsAIHh0ojOZgeoLQoTX9jAfurBnqkMi2c7pMXRxi2DAF14CjbeXePGX9DPGWuD054d6wRMInLa
jGQucYSJ+jUHcI2imf76XJt/cBItjoV/GEFedjHsE8LESKrZFBHv/JiaYkSaIhckp1tcoxxCLcy0
G/KDefj9hqm9DQ3+6yu9Ky1kO+aRKkJ914eduTMC94m2CYwoxhgeuOZHSyyDW9PQ6Cqx8pb2UPzB
SLEYdv/yYS2NGoc2la7isXnrFHEKDhSo1EnQ6jPojKohCEfommrBdBMjWduEt1WavG3nst3JXCEb
bllJIibqJHoGzDAHJGr4f+6tOKmvSV53fdJjWeVDhBonBASIeTTQOkmfhjvQ1TlAjhGg3TyxCObq
RV0h2LLL8JksOqzphJ17WZ1d8z6UdQhH+Pdf+a+u7euP+y7PHk4Ng3ppajvFbIKbpgasPpHc4BP8
N//Bg/PWoPLj4gIFY6LNPwwMt2+/WW2AU4rFS9vFnf3cQpBfTabxVXeG3K/N8g9eQ325Vd7ftK9f
bbHpvPKYKQw5+7FIxM6M+6u5M/XPehZ1e4zF37WYrKXKku0VrqXowmnFvIMQpftClvTMrbC9dOGk
JFxJH2buNrWqcZM0XXvBXBBI0thlfhxzCaU5IAJqE9MXU5FfqUmUc/Kryc0cmagKMuVWtMiP41KU
VEt5YlCn/P76vXUbvXypVPwa5mXhOHyvy+386mPKbLBUhX1kZ1VADCUCSy/ThaR0s5SruFdEuuqq
VP7hUv7qQX3zsu9qalgJLG4FGYaKYfJo1OZ3W2rszHVAvEetKhf5NJ4C8nmv0qXKsQf4Ob//4L98
CyxKLuHnjuuQnPr2k6cqdqYyi7WdHjOGadgSY7O5ZNhGmxNdPuJj/AKOSr2pW19Z9as/uPB+cTu7
r1//3ZPTDW5DHgwQpjbtvupNPJ7aPNAvsoo24qSEx99/3OWk8O525pOqJtcYqz//+/bTRkOs1G3B
cJxuaXLUBom3uwna9e9f5RerwZtXefeZGl3VMWYWSEfbUWNOVWgkdSGWJ5vxD5fvV6+0fBQVYgGn
1b8sBqXb5XSz1d0cAHOkY/45tdw9+8wfPtEvb5PXL/RuHeD80bVBWhvsJoQsx0P7MRFokWigB6t4
6vRbGbaLH2Qpj/HxcxQo2z/69f96ZDZUvHk8oipBVZzd3169IBqRgMWBvkMJWAItq/tzKQwNycCo
70p9vKNdjEq8D20ohhPlWxjRAqpSFW2g8qDQqlljZ2LFpLrIDzLMPlsAfK4Qmn5K0Lf84cCs//Vm
Q5dIIIdDU4J3bL67DRStl8yva95a2B3yiY64FsEYK+YUvZsyX46uNa7LDmkD5g/QfXG54hCqbGJQ
B75p5um6z1hO6z5HtUUfKSF6Mys50zQ0vlYcIp5LULO0+jNKON04aNDAVjGZsivyN0hvU+J2Xc4F
tVUZMCBKn0SsaqtpqDJPtXrj2DTNjxLnv7sFdRl/q9m6n9v/+4Zi/NJN+S+m8f/7n9So4snj0fzn
jarzQxanfzs9fO/eNKt+/Ng/CMfQSlAJuGCP8JqzNv1oVtnWB6Fxx1vW0t1yX+LcfrarNP0DdlwX
3sZPbAkb1892FR0u/Kv8lGHYaAOw0/4r7aq3j55t2CgcF+oAi6arsty8e/TqSnc6a7TqNUD7K42i
YCWVCqasHqLbaKmv5IUB955bGRLnq2/q6sfq/Jpj8m7tASdi4jqn4coQHjO1YSyL4KvNmYiptktj
o0UJqwJRakM8VPkth7573c1uhZn368CmPuTI8BUz43z9+9e33hVBLzwTdAr0EXVHJyLPerf4jYqG
CRHA+VpLlXkXtBZ4tzaavJqDw6rtbEB+hDUegdVH245R+LEFQ/4NyH24dssxytZRazSog+d5PPUm
2ZO4Oc0D2UojDNZYv6hqxOJx3biXetyQQVsziMB1OofTLlDhIXFyuqYwNuVlSVQLNZd1Rr/meoA2
+YUAoEuaYoP20UBXrvqd1VwSGoLAIaZDUJjtvEktvWTwkjb6yTZmmhpqBV+qzPT5up5IShBOo5zt
Gag0ElwsMzriEBvI2mVI6Og2xvIBBK0iP9MOUnCU4wwc0uq2YlLNg8scemuyBKNOMQwcgrWiEEpi
R4rcGXYljgvDCSqcEnfDXkHWqx8qEjTKrWHrwTaMQVbVSmBJjzAQ56sTGInuSVGKG8Q4YemhoV9U
TQrfWkMHcOqT5tiGtYJSjfP6NdCN/ikLJvULOt8GAT+S6clTCYFY/F7DcD8gQEPU4AzZba43n7tK
Mdd9ILCSiPbg5MbBzfNyhzsQ4kTtxCBJla9Wp7qXameMUN26sVqlXdOJlZRJFx+shGiy3ZyN46kj
louLJeUBVWi2TSNLboUTcqJNKqc45rB59lGKYlrHiHLG+pNgIx9CP67J/WkasgHnjsvdaFJ9SGkd
ra28bHAx29m4lYr7EQ7LcIQxFm4k7c9LHbAp52/6beYAJtpWGmentQR2Lz1w0x/bTjtO8RCVHgpI
G7w2ItgNqahcflwZG9pPBidqB8abItwNXLDZZ8rWfLYAFHxG9KNelqhDa9yzB0er9FWz3OctYDGP
PBTjUp9q99xbRbyKsq71qWqaNU5J9L6ZS70fVuxhXMHmbAscYivTrOWtEzbMjHrTMrUCYqBCwjrT
QKbaPKrD18TpdG1TWo5Q+YrVHNNf08c8Ldpgyo0xzxlg8EEY/YbOxXxyYAg95kbQ3qh6Tv6DnbQM
apgt3w56YD/Noahv7aFx7zB7YTiYok75msRiPMaYjc66tFQs68VY2ScDRxURZWNf1AQgmcGw0RSl
2nJMSJCaA3mDwSerkDRXGQ6P5TQiU+6JvD0mNZKIr47TTNvZNieG7pqzSDOs5LEZ6/RqyBLyiRmZ
nZtYmLu8gJaex+bOAX8yLzknWT0OG+yr+jPM2/I7hJRkN4VmfFlJ+A1zTX2vBSXphmGl9yfLjcqD
asZ4JLpRa++sQbjfkkAP9kphgboFBuDlzTBEXthk5k6qSKP8WGuaS6QbEY6XvP6sB4C7UwAqxKbP
5kMw9/kGN378LJgDrgmUzm9ypXduIcZoD5CWrCutm7ttEFEyTKPT3DHLK7Zg4dVjO4bZfZSY1SfG
//odTkhjj0/YXZWEJwQ+0AKJSbiTw7ZsmpShMODoxmO+qdXfUIfk4SHS6xAgYJI6xp2ArDesTX7y
vp6DbYA14zkIgDLsjEnt5rVG83reiUGZ0eyiylrjJt84U6RDSCdLBDhGV6MzDtUKvb85TliiNcWt
IQ/28QN32oj8IYgmFiRGzdgloNuvoeKRMB0hM4XaUGKc8XW9y9adjbPg2JaYWWaM2QxqDYbwi7bc
2QekX38FNw/6tp77faXawedGF3UAH6ofFD/JOVOsgwBL8wFNZvAQWRPZdEHrDgcMosOnLslbgHrk
uQTka0gMSiSEE7en024Kwnh8yJOxPLV11IiLKHNcXIvTlwmnAM1JPP1bBvnKbU737QkdU79vKOjW
A8N47KRdRx9n6qe28i0qxHtu/jlcZ3NP8DFRU66+pQNHamdnVujoKgDKg4drrEUTgFseYdNQal/G
std9ApuktoGanBsrq6vaL0o+NAaTS1irmVGq91XMpFatGEXHHSpA3Zhd38Xos1FTXF04GN3vDYa9
k1qNbrLVzVbNV5o1B7OXzkGxnUIScyA+WfGB7D5CzMLS1s/BNCI7HQwe+lVhoOJixsAbyOQM5j6L
ZnLeBi1py1UoQZeuZCOxJM2dwXqBDyxO4TSieYUWana4Wix9HjeOpG++zazC4Qiy7DuObhaf2HqC
0EfYZCMBGvvyTsbtfJBoTjZcstxDst5ugCOPxwrf/jYmldAF/YzUABlok6/SSFdaD+tgjj0PdKZp
8DiUirQ9TU7mVRNMkKbczNY/Jn0PSsrgKB1WAkbVVBMbpc3RATLAsI1kF9crEnGT3GMsCFzAhUF9
g01Vs/wBFoeyQomuLg+6QpHQ1mIdAgD6nky4gxAmx+64KqTbPNfTS/CZhCIOX1HZ0FemEnPJG7sn
CdrwHbVoIT0UWx0O8VWEB/ZmBsz7SWthxxcC6X+AGowJXkS/GAWB6UW2Wx8beN0fG7vhsRWWYtyl
RdV/6ydEDJGMsZEg9plGTjGWOnsOkL2Vbpj1pTNH4BIX81/PhtxVzdZQC5SOtojO/ZgMp34u+eHI
QJ0mwDAS6Jrq0Ok1q18NthLfjG0Lxclo1UOEVA89N47bguwbEojQS8+kz7sW3nT8ahTQ33DamT7h
MR8liixkAkhxSLHg9fhBa4Oiwb5oi6HYztISXoZ0bGMsYiJspLlzNUQFrhGrwQjqS2EIevUWBLWC
jPJ7djkwVAU3FXUQhdBz1kfzCb3ymO6dWJlvLIHdYNXpsYHjoucN7UWUQaLF34Vgv+nqJxrdDppS
J26/dU5UT5us7VGE9XVZ7uxeqEeZ5j2gFyeNmQplIJRZWs0c54iWBcM+j62SX431rl3JrMvJlZyq
QzO1M7jW1MDeb4cm+2HZxd3n1mzE56FS07WN7w/ePaWKBU4bdfCKA6kRr5NKtb7NpbSvjToYPqHa
mJGa9LG8CB291GEFUH2t60Yt7irGa+NaG3qep2xy3auqKeeTVOt+V+e2cX7J6FGFSFBNWs49vIGa
cZTWEYqIy3cs9wHKGjLH8fdy8VjAYbmTgMmwxpT1kytFHG36GVQBO3oy3ZpkshDf2IyEpuUTk9Wd
Ohb1Ed5P1KwnugjHCNE77c2QlyEtduyX60LqaNBERDxrlsEiFjN8hJhRDenwMc8MK8UIp0DqB5Xd
z2sjVKbgY6iOTu5DnuGql9PMF5RIBti+pCA2N2RIiNu+xnFHT9IOVTIshOgvUE33zkbTJEUH6IOL
rreZukaZOlIB0xtcaZMhL8ogcRuqNeGckdCLz3akWiS8uUl/ocFiO2RaBASdRYfICJaKO7KZ+/xA
gHpUrdR4wJUhx0Uv7hDkS8lajuVhzlPlwVGqePTxNgCrtVXKqPXAvAQsAieHftOqFvYErolbX0RT
EHwmkyX5VE9pHx/nqLWcvdnSFEiLGn91XSlPqoYpWgYa/Q2VXWU/jaCkcf5Eyb0+GCpgPBSGn7na
5aWhzcjL50xnjMpivguaVBxmg1Rq1wzaI76UNIb2URCaxEdfT7wJVGqWMZ5KZNCRTxZD0KwSyiNU
j25lnhF4VjCIf38ee9tW+XEctFQkE1RXKg2h5b+/Og7KoBEksyjtug6YJyhzmWPHjtM/dIRfTrT/
aBX+eBmSjDjxqbyO6b479E3N3AuYHx1kAWI0O7wPIRgEXXF2RjTDhpZ9mQlG33n0HR2fInwxVCmp
yHCj7rVxMveTAunEKrP2Rsa2e7kcYT0LZclJGcrpngju0sOKEOZex77UXumE5gU/mqv/2485T+XT
f/zbw/cszgk+aOv4W/u6sbJAZBH3vLqv/If24W9PpLa20+kh42e3xcMvf+K/ALLsKSYtRjrjFuFR
9EN+NmP0D0Bl4apqP/ixS5vm780Y8wPtCQsZnC0ItrcWPNrPZoxmfGD252r0aX5kUf1L2qG3PXPb
WN4Y4qXlCbBAMKrvmjHCZpk202FYJ2FYrKB+zRsiu4WnaTB4IOSMf2D/LQ2W14/Cj9fjBU3TAF67
fBmvnzgi3Bppkeeyng2O2CwIz+zoCZ1E8kBeXYNf9HqYDf71tRgnoLMi5su0TfVdh76z8F7gch7W
tMRQRGUmqAH6uNqe81d5KQkSvuwITNimos19BJLudyst+isgX3JPYhY1TaXAhFIn6kCEBs2yKblh
/RmXNgbtGIriyeLEe9GphJdOw0xCUaPZAfsCAn6qTgJq7NWgF08kcS3eUKmdcQW3/Ua3GVgeWqNW
r+JUNKHXADCCP28bT6QGwL6BDtV7TpN2zzj7o6eQuEhfcmb1iyCdr1DcUjsQ6xJu4YYlnsRRcZ1Y
s3LgdK32KC47cllk5PJWUJcGn2kpL+GuqMDoZocpWfYh6d3GCtCBvS1RjAACSROiSElOR0bQGDXF
jG739XPGyPzCbqy9HXI/aH0n1jAxSAm3zjlEu9KXxDNdzKEyHzil5oRypQzXRItTXe29MC7vCcpL
KPDENby1HFqOfZwgJZA4T9+EtJfK012lPk6M/TwOIXhNVQvThOayByiWQy8L7/Faw9R1gZvkPnZB
2WSjIRFLETLBPJbpc28z6EmSTdq4XkTioqdrY7s2Af71WFO3hItfE2S/wmx6M1U9HjC7WVnaGG0R
7xl+mrl7UaHQkKXOy9c1nR+NWW+C/NLsEv7P0iGBrrcDdeJSO7GXkuKu+pbBiwsrU/3eUdEEYfbo
0M97jKAeQiEvs5z8b2GFjwPy1ZUGSg1Lp7JFsnFdyJrA3BfKFc3GwIhuW9LSPXUU380uOGrS3oNR
Sb0Udx27uUNgG00o0ejXAd4ArAfa98TKNjrHdI8OylZXk2fi9CT04fre5A84v09E1DxToByzNrwg
EB1ieb/07qPqNqwJNjMpYyfCLAMyPRmJRinBjKXLqMMZHdygVVBV4THRDQaqCZanj1VrnmKluM/J
+/WQ646UX+lBdccnqysTX47YJqnZmlU90hhyOfdAhx7cNTUucnQHzhaOUw6QBlHt8AdPejA+RkHz
eQwFMHZBVS110qitQDkHekhwjq2StWjgflHoZAm78CcZELVthYcw4Dhi1eKeSHs+ADZfsGscrYb4
MTBxteck4dGntD2ycvCHIdHO6GegLRLKvimwH9WNOXhc2OuIAtULChi7SpqSLJDxoMpKzGfCoeAP
NfZ5UPmkuQ1eJOc6YLt8dKkp1y9r1f9urn/cXDVNM9jb/vm44z/z7w/ZQ/63h/z7307xt+Lxof7b
vkn5Y/N20/35m35suq7+ATQ7GwxbGmhhjlt/33Rd8UGAELKgtQqonMTB/mPTZT9mzuEucw7DZjDB
5vVz07U+sBSwH0NBMIXK39D+lQmI9lYjwKFc1WyVd4aNlV47qKi3u2DTIFQv4rHeRgPHmMTMHvPS
kWvdZmWK6NFvGOw9MwQtvdmVj4XWIK/htMuBi8NtXHBwXNJR4IiaXjDEn3oM3d6rL/kXu+f7Scny
Fh0mPUtZwDdCvfH2LaLBpHKQYb11ELpTGuNEZgSKMTRyj31VPRj6eLKaDs08AQkSYscftu9/8gYM
3RV8Vba7qLdfVwoC9YIDEKXeBiFvgIZM75UanBU9DtYRJgevI2Zt1bloQKLFKKPxPn7/HbyrVV6+
AouJq2aY6gJFflerNEYs6jRLSUwkbZFjtX3uItbAKv+TkuDdROznC1m8DMMxDgrvPiq9raYFBABM
rmBaQ8Kyu7Hb8r6oCJp1Jzf2Jgu3BS0ofYULmGFNoOZHoIXXJiLuI7lcCig3PXhoEnNY16NQb3TJ
hrY8F1C2xpqI22La1sQ2gkZkOSP1x0Zah8eu7voWJBchdUEnrshpxr4EUXY1VdaXhkRAtWaqYMRV
cBHm7HYI7aZtY87R5RTczYPB3ZrN50JziIQbh/HEWf5Z02e5bvr0MVforKZ1cJod9wlp6o0+259/
f4WWCu5VNckXxyOhAtXglL4omJYr+Or8Zs85PcOYAZCpB1j9xulLEgS+A4nPC4SIPSNCbGtXvfsH
pcn7Ex0vbJCHR/YCNO+XZeTtC8MctEtwUsnWabAYOWif97aDQ57CUhDQQvJHbM+QdmqBiQ7YBPAp
dk3bybmgKZE+aYS51qFeMW2eKSaF0iff0YFJNEzbFCaXt3gRgLvSu/2x13wb/0/4VPziyRbiL1+a
YWFUcB3uagaQ6rvbWu1co5/sCLCiJnK/UkwTWNxSNfXuDcLbgqgUpiEtaWwnSg8gedp+8Qt0CxQu
yKz9jwXIwNRjHi2bdCSnYddkItP4Nrw4fPd6jOFs/vavXmuD4CxB0c6CBGSbXeP1tabBpNBC4m0P
Sk0MosGi4KhoNF6+6NoqIc121GeKkYo/PZ+/+MLo37mkXPzq+N4J+mmdW6fboG9Kr+9cNNJx2/i/
/3xLr+HtvWwgHsXDAWrX5YT+TtOZ4wnXlSpNt9Fk51ubnL4LMqYef/8iQN1/8TKAyoXg2IlES7y7
+kVWA79D6cj8L32GJIA9ymoonkJGmgQS8ZC7ClbeoCdYKtdmdGtm+qyFxnxdzskaO1jEvkPRpBl4
hslTUNbRDHcyBTSzkckgPLRm5F7mzlmxlGkDmfskCO3FItg5FImU7z14wY2iD+06Rka6hpi5VUfW
N1MbhRdXrrIuYv5aE5nakdMd3CFixXk8+HmjcphSzJwVBQiFVTUSjPVycC1pP27yDkhR5JbGRojm
09gy5xUlKuCgTR6zOX4Eo3idAeO6CMjCWBmUxzWA2l0DH2aluvlOGV0Vi6PqbqDxPQMTdCjoWXPR
uy+2RBrmL8PMPMTQ25fpo9VzDxoyvMNdMxN86p4jbg7m+ZL3rV8DoGa0HJE/oov2nhQzF2oTq/c0
SZC/I/W3odSOP47QfeXCqiHVx3jQlqDWWtjIxilnyS1wfL2qhBdaaeVxxvoKMCXxwi4TN6TuUjzE
KAGs2VKgmyfPWsSHfukyZRnvF777TS3kkyXZPQdMBjBEsAk4LNxDVzZryQbiM4NnIFEr9zacWN8I
atdzI93xwdAHXmc00YZHLN9K7Of4bRgZV1bsKQ07cDohys6M7Gim5W2iueeqgZeDzrv1iayNthQ/
OhtLb3gpGaCrvKlvrHim0Q50lAJjG9j5Y602+EgYKK9gLzdrlzhHusbL9LhKLABqBC9V6TM2d/IC
q56RT3+YM/nMKczdjg3JUqHBBwVWaXLUvgwY8nr4Qx1fqPaJLBaOY0u6qtQ5MoquUv2g5D4vli1z
KqivpMZLAQR95izMHcuVnezwmRkz/0mtzE+9bJNVHnIQFQY8mjEIn4vFLpVHrNa0Xh1sjMVxtDnh
MQmOGVFljzrW8I8dHRzP6gEmI9ffzEn0iCSn2EWTWh+swD4TNMVnpDw9Wgmn6pcLQ2VwasiBXEv8
Ad7LvTsxiKOhC+CmCdKWIUv86MChXJmhfq07qbuFjvPoLOmgkjtcQzRL55p7CSUNN34+QnJnnKJl
1nZamssuhUyEn/vHI5Bxh8HVuqYrxuy9p/jEbDJf5iMXq4uXakPh90H61smJ4w7SNS5/o/K4lF2B
vUb00XFQUUEDuY+90uGmJTnu8eWN83apYpAUbhKFPQ0NXn0QJhoBegzupmuJrKtKnBKpHZWXhetW
a3rwgIYnMGdzZe81CL/oARhexa2beMnYH5nE4MCSDFwXRBiOtfRZgeG2cm1aBDOfg1tX/rjAmWpe
i7S6B8RNrsCYPFcW7xreB6xwbrDOls8t6XXYVlkJ8iTkBRqOru1ywi+tKYFl2XKcH/gSOQxQDwGh
oHPtAvJBmY3KCGBK4UifDAPHZ6GSa2smKFeA8l12J1flRSAEuRtTM4ILYSXPkxoEVyIpNuDcpRfj
i17XDYHs5igg0rrf85TFRBfcuTlF1wpVw13T0C0GkXBv9qy1EmqWb47mtrbTx5b6alnOppwvAgHN
6WVR6kyWl6ht7mlAsTF2FjMybAzAM6457zCMhH5DHyp5nAiS8xydVgcO15+niWgpWKxYV2iGc7MW
9unlEzL8fV4eiSo2r5etgICo67bkjb1cg5J43jhTBqwnzDLkcAQJatIBWW6bHNh/IMxsXWiAKhJD
O5o1HYmSUMUafJlfMwH8sdI5/5+6M1uOG8my7a/cH0CZO2Y83pgjOA+iKL3AREnE4JgBx/T1d4GZ
dVsks8nulzbrhy6rtsxiRGBwP37O3mvDMF072I7KyWFFpZO1ZTUZrlpSQrajwftLOLSJo2Lmf+Xb
xiFTbXjqlrszGjx5zlyez1EhNk7KezhW83h6WYnRRFCIuRFUqoSeBHs8faPZv/cy5DYr/hcu38Qf
dwA3liqGG8AwrNolJaIaQ+XYywKhNr6DaAJpMSogwRV72VeIjYEfuBTPynXoLoVbQLPT3goZkauJ
C7k8YePMYhxXlOmsNIysuFVDyUPXBCw8iKGRLyy9FL/n1lh48V/ubps2jwmAtpUXs+pzCiqIsOYP
1oD5dy/rL9CthSIU001TkhjDoCwPddoC4WMFaAI+IIp5qh3NC+TN6tx1+dZmzXKTVpLQ1KUc1kma
bfUAodQIs+kL2NHy4C2cUSvm8RWjenp5Voouf0r9GH7JeB8KhBPKaWgh9VzqZbcJA9ZF1fEKkM+q
LkBEqo0LK5PJMyGbdteoFewivdJVUe+8noxj24X5PyRcVcwe1OeOt0vrOj5kVcmGh/rgklWyPkvs
uDvaAz2j1kG5M1rxuMEpHuyUHhYmZIBkou5sTB3DNJBb4GAArOboiYxVeouWtJNdL6seglXS7gMP
v30yJs9lXT6GTdHtRk5WPw1wMndWliKLKRTRF1V3l5Jxseeck8CrwdmOcQKLaA6LVnlWsok1eZGW
NYtDlNU7Z+aY1JfRUhpUfXlsnBhYhCb5epjhytgDHkZFmD0AYLYFFS8ponNzacnY3nkMrE9A8p60
kQER8kxiuhUGR4ZE7U4xvD+bG16nqmCxX4556HvUBq4C/+FDfXMQbR0CI68vEydTWOnSZE34ES1P
Gww4s2Ma+VlkU6PUYN5zesHoB8NNbza/05mCresdqNZ1kR0E3Mot4utjF9SPGaqDFdKuedVb7nDR
Wwu2CsLwvpIA5hKagHw8qQVFxx+zpeZvzwXQESn1rtHOid759yiLht8KBcqBrI9wM4whwC/T/Vl5
y4RhAlRL8WxIXBmxQYJhCQcVrHzHGNZEzUCceEJnVtB5s0v4BqGZwDtMrINBiujaagfBBA1ql3Cv
DTzO6O8pE0GfRRO9S2itP/GoXeD6O0tK1l/kD1+kGE6Ny8TVh1rCUm78rgiu3HiDqfDpkSWrtPHD
6Vh101pax262bxCImKAuxXljWGpTRCyZItWoDhNpLJgJMAFjzlu7nHxmxexCzCxLiU6e5VgGgKip
nySc1k1ZxNMXqyMAnTs8r4eMHQhWePg8pEa5JpAreyhqbZ/Zs3jsTZYKQ7aPRUiLI1d18zOaoaax
E+vt7HrdXpUUwfFYz7tBUTEJznBqlRomC9eyjtuGAn/KPgdJYi2k022NHpCYrgiJfTnRY8hlObB4
TX1YBWwy8sYa/YaMTyQZDbzyNew9GN9RsLeH4QnCjb9XRX8T+zwxYUCmrVH0LJpsBcv3XFreku7D
vnUlx0J261VAma1l/EQ0+aNQACR6R9y0QD2A83g8oXE7nl7GSolYUDZedF1kwzmRGt85QNY70TvN
WSvM5gvBm99S9jSizve1OQWnoWFRM4dUXaQD38anqlq1QUd1vSync5fPF9CYFX34rtoNjn9Py/kJ
CdY5BQYcEm9sqAKti6qhrkEgcw7vxeXciP61MwdiTsf8DoHntjeZfnVmxm9NGsBwQxpfi0ZW3xLB
tYfvTWoMnfnM5gmrMp4GbfglBRbXFFwV19n2/IcSpdxZZCTDfV4bYtURcrAxl+ZVEmHAVCpeT0sv
PGypc5CdjpeGYZl6ReA1i3TOaaXvK2rvtsN3OVBjmnNfQbFI4ao35SGL5B7YX3tEhPBcGPFzxG4P
V7TbtoVzGVl8z5cdHSFPwh6RPtXLsxrxmFyC6+eUR03A4drcptZkbA2+MIIX9sxiKhk4L6eWeaRB
hIRZbXTUPJYowNb9oIerqOKVQtLNzS66Yt/pKTxNdCapdTLYlm6nbmvdJ3Ta5daIGP6M6Kh3GSf6
7csuh1emOE8g7q9xovqQ7QJ5HlV8TGbyDI+xNX/PLS/+1SQj/DT8mXRAIHQQMIRayeBpClAo/MiG
lr/S5M9iFuKJjAAG9ux6L08/581t56XJicPqM00IflXm3vpjghrTvCE9nqNeyM6VgnVdGlWOPdcH
HQX9hQNMYzUR8XJ4GXPp0uzXLTUUi0JU3aCoJpe6C0h/JX8CSlF8iXpqcT5bapt7AJOU050MPSes
uNXZZM4oRmo+fsp86lUUQ6vEMK8WSRPTDyaHBiIqSJxswzztbHGaW9QX9s3L3huMvKexHd5/fPB3
/qm94PpMsiXWVSHcN8PQPgWTFKWT2sOB5iBu0bB1uu6xrmgKpgJRL+BsZmyau0yK+ryLzVyz1FQP
Tv3Vr6t74SeSd5iD7lJmaE8YW9fz7lUfXQtznNdW7hkH3OJ6Ew+iWFdDf+3mBkwwv6MA7qIvL43M
lzMS8/BfEODjZ3eERu107g3ymGKDDkOemwDpTm415ueLVJ5DyVKUepyBOoamnJcU9tvOofYyBLzi
5RCmpeXfaoRtRticFcCQ13a0VIHxMh/kzLtxIj88KinH/36LnIkA5lvIHi5dgWVG/2dHCgVLnEe8
Kfuw5UwJtDs8tcxrDy6ELxcL9UOytFL5fez/mtdNDhSNH9/W9w1Q2w8YZri2RMNOP/f1VyCZp3YS
U+l96rXw/0lxPrQNdVLswoNURtrA6IEeCBLa+qRdteTevu1XcXxf3CUWCwa9pNcfzZstdaICvfdr
JFVw8b0N0DR5mwxuvrHnqvqucd9uwyVvACzgddnn/V1QmfvJGuXjx5fh/TzF5g540rMIBuXxftMH
1qYWVVwOam8vi8DSMCDkjxIaUOO2ceybJGJ1/fgjl5/3pl1Hf5RIEMYTAhDrm59vAV7luBnqfRta
/jarJ39bR/w3CP/3YwvsEhTLAE+vyUCN9Pnh40//h7eZOQFfAEfYyyjr9cXPuahWx5hzX/sUY4qG
zrrgQPHJE/4Pl5Uus4mm3ke29G5MxW5qQp1xuv0sERzpGUl5k47fGcRftkH2berQcH38u14iMN9e
VmtB5tDflnT3l6fuj45+XTQRZUne4eZI2zO82MhqEUocWRJo5Qz+Pb4ALL2C7tkyWs/HbNr3oySM
PqqXrPTk15w9fPyd3khkll7/MkdEubKYWt89XNgemiQQFe+YSr+XFQGcfxW/CoF+mY31JymPy5Tx
zZNFwqPn2XT9kb1zMH99CbTpGW5YqHbvJ95lgy1rUxhAbMuQtCVB1YwMg8S9LP1SifyYCe9Lk7jG
qk+GC22qX50/ZCvwuPMnCcfLVPbd1wpMB8EST55039q2LH+spsiL2n0e9PRpMopnwmo5SgooFZoA
BoiQ5zFNsq9WV1W7tuQWkddMSxfRgGxGGlPUcZiATXMF/ApNhWtdDrJrVl2a/nTbA0LvcTPblCCI
3C20DrBgnnUUY3WIdLo1umgbw8lae3MEKqJgtrRMHfFiQCkRWbq28w5apbWcrYUwAbTCGhWhgYZ0
aWUtY7uXjS2dRXP8+Akx31+bZZIMF8pCsoWP/s2wlLDAseNgWO3B1oFudEiC8LoITMKQ0xfz6o4c
GiuhdZBjQOgBDC4/k9Yq9M8aN4vv0arFTrGeAf6fKqGNrYMWZNsvdfOsqEpb7BQXtCTA6fp0QqP8
0/XsxfH6+s3zUEsRM2Y5LkNpsfzGP948ehms8w3FJkUpysuADCJ6aoCHveZRmwsh083PcQc1RCcC
CTWyZNcMovpkWX3/8APMQqJOIDFpDYSDvv4WYCysqveieg8W7WQOXJhF9ULGmfvJB5nvl1BGhxjV
4WdgBIY5+PqTmIKEtUmW1z4s6Aqm1D3Edc87lPrFczaj7/E8ulLJ0l2uR008NhiBlamDaY1lMdoM
VfxkcoQnZARfWs55D0H+84sIp1zOjAWHd/rb5wBwaJxmtOGMkLPLxw/eP900BngMQB3ku8jZ3kyO
C06uJpaAah+3xLuZmY0DjmiMdd5SdYIhqrfWoH8t56UX8Yyu4+cp9z9Zsd4vkB6yCOaJpI/a77eJ
zNStV0lZ7YVd/rYCQtm4DHSQM8RQw/TZp5nvJ1j4BSHsMPdFUIs16PWNs0hI9JE0Vswvh8XPVk6b
ZSwJZhXbgowcGrgU1NBo2CJ8O7rK5/KxHEt14eYormwRPVW+nC4yu54PPQfvlbIVJ3McK+CJ2v4i
tYarj2/T+32Ub4yBloKYTDyKxtffuHFGYq7xiuw9Y8K03VbdxlB0ILTg/EQrGwWZyD4ZWv5Dwc+n
8URATBEs22/fpIzSAWqqWWKHorFZE4jBQXzEeFbaIxSrjn5qRMyoVPqI0dY9w7B789IzpN9ubAn0
IASxoIUQMijadKrH/+JY8kRrRe5IZdpWFkfMGFXjBovOozlTb730RArJwclk/LzrvGU1Sxz6tcv4
xTZ1coMXjqeztOKDPWP6jxRUJGz4XzJEVytpMNSrpEsEDEOHXewtxXw44AldJpQIPW/IXUBgtsw2
ygyjBDO3n8tJ2E06Pm6Eui/D75YBxLyq2gHKOI/hx7fyH5cN18KNz8W1BZqN1/ey8uckbmyWjWjq
4mtoHzQFOL7sTIfoBRrL2A1sDrnoG59om9PNdrjRxVD7m0Gb2bZwm+Hk4X/8a63PzYHR6IQtDwdD
5Wy6zvz2Mtq0K0miK9PaU85A4TJOuQkf/5LloXu93qONpbpAzYQJWzhv1vsmshnBEgy8Jz2O3C1i
wzYYungl7LgnGjnI1wFWkG+2H3obtKDqkz3Tfr/++qbtORaaF7RG8q2+J/BHFQxjUe5FxhStNJvx
GgdUt/UzOuFWHdgPRQWcPrFiddQAwuBOsUOOBn3sZPlvjsLlqQUBvdHMY8rexUTJYwDkTvZ3ITUh
H+WjAaZp/TJ/oLUhMScyvE7JV4yRSVbLNMChyZ7SlNyLfOnxjUs7d66Sm6Ye7AeROZtKBOdNj/vE
cWdnNy2alzwKnvk/hh5QyH+jY872Bbkje+Uxbvz4Jv1DZeFjxpC+DALc+Y67XMU/duWeWV2R4jTa
1wwpXgYEub2MhCUToSrhNZy7bMDUNh9HocRqTqgYwuSB4QHxEcsYZhaIaquGvFV265tsWd9q995O
EQQDeiQXqliA98wiPJFP+4+//ft1zzddKgree8Ex9e0ZSWNTbVHBlnvDt5ekz3a1LBVq4lT80o3K
wvyTVe9d8ezxTFGfciizqWSE92ZDBDwWTo3iJEhrG7Jw1S38Drbjl1lM+3J7NUOhnvUFJQeiEb2M
AfsO7p0FmGTb1JhkHMQsK6Qany0ebzfKly/nUNfyvi2qoeWf/3Ez3clPU0MR/ZHENQLuhu+AjZQp
APcpW67Kx5f/Hz5uecVRKlmSw8S7bUdVDma+Uu0HZ3lq0bBOBgWV3fLscHb87ETsv62CPdY4VhQU
nQjZJCfH1z8vbnqmjfDF93EcO+dBAhckJttnM9rBjlFTgD9TUZEkiy7aogw9JA45elIaxaVd2t7X
wc6D67TXYAb1VQvVb1u7nbuyB+JgBt7RDd2V9iwjL20fDJh0q65IzgsL2nfY50w3564gs4Y/nvSN
u8yubxLa4cdUF3JXpkDHjdLMN6nvVwfOMHa8NspkIACOUDCBhZZQqWFHR7LeNlFt73OoZye0HAYT
FXXVTsJec2yz9oAPuYYIyiHVGekmTFV0VXBO3s2gHzdZ4ePwifkHsWk8yUVtJ4da30wUars8C1Oc
TZzUwgXXqKjo6Ag2tNUT5tSbQuXWCYGqgw5MBenGzetiV1R2QjZRAzE7twtFlyy09pZX+8BT+Q5G
FUb0d++qzr6K4sTcGHSHz3yYMLR/ZvkdKBIBbp5yPnnRrLeFOl40ijC4phyIkeH5b/qJweKXMDJ2
eRQU/uHl3GNlqEaKVjDZppZKAVNfVXVdkBc12GtrnkBtVssNxH23wQfhMr/Q1PVe45FBmMU/MzO1
sGXXLjYL3JNgwuztZADj81kg0c43xY4hgr1euhI73wI+MZWDfR4sfz4tu6suNu8dD7XJMLooSRxt
bXWTQ3NLW/+ThtPbzQvZHy8UbzB1DAvNW+MYK6d0rFr5+OLmfYNBgBbRJ2/v28Xz5SM8FIYOvBX5
zr3CKcyhERD5CAbSalP2tF97AsQ2qiJVqu2smmtjfHYqelsU8KGsnfiK6LAvy8abFSoCuZ+6cePt
6tKrtwy/mnUF0ZqxG/4B32KkZ1hOeywbERIjp9pP2lrybW3vWexz6Pwo4Omn0nF5vYRMdY4FcclF
0W6FFXkkL7gyrRmU+vKBoRMcq6Dz96x297Qd1D6z3f7Lx6vmiwLuz8Lo5TvQIof17CP6XQTif67S
vDaNZzaGu0tdZWz6qW4PuW01HMRFS6JlnwTrJBftj1HM4SUX0r4sR1SnRWf6d5gz503ce+DPBjvd
aYCSj6I1uZR1S3UXV7sc9ODtME0teFmPn9PF3nld2+65Vw31gxmhSliNhSTAK+iuLQ88ftwb2SfF
l7Mcbl/9RgpYWqb4yiAqWuzNr3/jlHRkhrCF7jRv1flgNeNOVMQSBn3Zn15+RACJ71oMkbc4uSWY
UEIsg1nMm0yiHZkpwTYWvYi1FZO5G5A2vPEIQuG9Fi3IUfO5QotxMHrYb5osjE0SWTcKz+4Srdef
5jluCVNxGxQAs793R69nqg3Ic6FmOOQ/bjO3m1H4lMuMvTB2eQVipFkovkB2d6qp20titYD2uz0S
izi6nQzHwDsyZNfTXD3MDfHBTaxPzoA/arZFtkBF+gsz8bpHoyx+ffzIWO92Wi4nTXg0lR6tYHx5
ry8nWXdhQnpasItUQ+9EG83aS/vzJBrucmi44CptCR9VEvrhTphZ6HitU6fyDwqG5YqIN0xczJeh
tPKapUUfn8H0FT9qTDCMl4P5jL/invc9GR+jYRcHGkkai03s7pXof85pFZxxyhMY+JHsOV1r72qz
LhD1mc3acMsHnU1614/GfU5DeqPm5rPKxn63WgGR5LRJ28jxeYHlmwcqxSzp0k5xdrJn8/bxKHw3
x4EhGF8cW5z2za0u8bN3A4gBy8gB+hKvdgaSwQcAnlSEp4UaF1qZfwGZgLwj4bVToGvJbXNSY2cO
FQ+mGxGMjThuIxqekQkgBdG+frrWwpfbqdH7cYolWgL7buitR9uQ2WoKvLswTn5x1iEBhfnUWd4Z
3iFCtHERFYl/3VFPbuPMr7dBn3EcL+Jqkw9jt3fpDextRn47BpM86D0fOQaZ9UkP55+eHSYXNk1v
1r53RSFEmJgZJc8OnL9n3Ab+9fKuNHiq1oPEovjxo+q927lsbpGFQo1OLtbSt17kXNOrErpjhUVO
tUmZQz8iLIvPIMVIYEf5uLNEmF7GbhefmX7DgtdQfsmBiz72NRW8Tw4V08SvfRCSW+9ehLPT7iQq
n9E9TVFaEtnMe92nSF75d9fVC14m4LlsUrYPc+Btpmx/Ltt6vjEXeoqs5/63LMv2gFVMMjkci/O0
Fe5WAaLYxUjivwyE7N0y8A830oz7mwqGz9o20WkoW9LicknyjjBsXSDmCo5MZG86/DGHQE2sHHOg
oSoX3nmDu+JiECzLbaXUrl2+DhPTbCnE+y9EohibtmebARXh52vH9NJdSRLWj7oz0ktTlET2AHL/
DiAoQyIjGWfHcWnsgiZfQpIiY1dzIVfETLnbmF4QFSgvxPxJVfAPTwsPCb2YRY++7JKvV5rWdTOV
R6hifYyKrCFcvwYm/Xou7XLjObwQHz8v7z+PqSKKdEosDurO21O6qwqUwXPp7LI8pwCpeBuQzQVH
NEf+IZ6d+pO3Qb4vLDm2vTBEOfAyzAuWb/THIclH3labUWTv0DFZ22RCGSql754nOYOoYhbx2RgA
pIhad1eVujnAOuM+AiXfljkvv0cS0doevHA9cnKGlM5GJXputShtshg92e2rmp9CTnhzm7cs106x
bO4OMZ3OnGTXTlH+mJZlJCow9BIczl+X2Q/0izWpLahC0zIxNhG9yXvon+1xdv0LsifVjinDcw2Q
eTMPzrPysh9mzHc3gKrsJj+cz+hrmVupRxorZXNPHgArlcHK/7K1kuwEigFP6COKMgsADIJ7icgX
jQhvUxCwS8Y8gmdlnImzobO7fekuu2muEINX1CUqYZ/RuZ5BM/CuTibrR5Pr6amYWd9Uz3M+1zzi
qgFPhiqevYc8yg0cnPohgduw47pZcFf4QpWH2ZKOy7wJjJgpwARs969/mvG8g+g0do1ncJovUYZs
NLCC9Yi0YDUtu24am+3RTpTHy8JykciBeqAbAYRBhz3GnfAvZM0AXwN0OgZd5B9a0A8XRcy/IiIq
iCIMgPyWiL/RfHd7KE8NeeOoiIouJFNn+ZmGI9PL3pjnTdXLdqun0t3jUcLHmydcu8zx99nsfnEn
72eOXnetMts88nb253hqyFgdeGsiZ/L3fU30EDwWDhvL6x64XD6UpnyCwS5QBVQ6cc71jwOr49DO
7Xh5u/7HfJ+vmJdEhvz9wQuh4NX/s32hFdzo3810+7vVWffvtJHl3/yv/sO/mQefWDolAhMEEaxL
/7mn8+J3FP/Ifkw//nRw/sf/8G8Lp4nnUpjMXYmFo0u4LHV/J64EwBEcqlfMMt7f/+TfmSvuv3CU
sJEy1sHgC2bt/1s4TedfS5uTvgTzbMx67Hz/vgrXf5XGH2Wu/DVa+bOExqFjQ3zCY+qzIAP5eL1O
aVKcfOB47qEJGjs6mLVCA8epdGxWMkjiX6MiaAtkEkAbx3I1CZSTT5IEFKp5R4VjfanTND8WnYto
tiJcYVzlicHe6gzdWO9zwi6+BK2HpWEYxFVuGA7HAadwrbVHK4R4QNtOg0NbokLfiwmFzrkgkuo4
0XBbO04UR1s/7KL71sEsSC8k68CpSeM+kCS9+9oj5cOGiF+kUMJAYap1Xfi3gu7NprfEJWbEnrjF
qqYb2vbNzzqrq2GdWm1er/mx0blI0d+tGigv507cku5A3lqMkimjYppJC/M4eF/VZmIeQod46siZ
LeKppuRgkolE82kCK5Znk3szAJ+890sasINUw0WFpWENoqpfkcklthYtMmBEAWFdsbsmCtCsMLv6
A3m95Vh5q7otb2VgEJAx0AxFaU7TQpybJjlYJ3h0/U3dZy4hnEVpR+d10qXDPiSpitHYkEVqFRT1
GAFNDAmTjww8S6TupfAZIjnBtMz6wJA3M5Ov6aqJfLe4kbYwIjqqddgcFGSE8EgihJyPWnRuegp7
ei2bMg1lv9XAJ+YdsMbsESl07dz4edOZO4lrCZ9PzDK0NpnWTytrbnu9C92233udiH9Bu4o8UFN5
sC8aLR8gCgKii0QULS2s5yAYz7RBTAzYffO8bCai3ixhYF0iRcZzmVDGIrymgiJesx66iIlPDgq0
Gcg2qZMbJMRi5wqkfiWtKKZCjhj25NW3v6y89w6lacTJPunZmjZZKYAoupVPS4UIx9Xkle60yRm0
3CF9nM5xfFCDjYmzAaqS3XVonTeajDeGFkUMc8EqT8IjT4wOfLQViX/SzRRs8VHM92GRyB1R2s7J
BYG5ilOgCIUUVwvuUpVtezfZKJpj6bZXRiRDVGhDRFwOh6gVfmBkr5ChPeAcoHuiPTk82fnCYt/w
txpCOLIcjpMtFXBRO7nnadVnJZs1PT6zRCyOGjs9ThFsN1xAepNr6aJJiPQx6gd1Ffhh/63j3obw
p0NyPyLMaxF4knGkuW4Mw6ZpEC/nufcwJkl+U0+k4gxo6Qksmh9yeIG/SBzBhOt71R0Jqu3ei3XK
dU+nvUuQzjcv6Owj6Fd9UXXT71LrCnLaZBIHO4akFxhgLFw2V/VYGYN7N5STVARLKO97NXVsdSJ3
7eOQ9QRNjCTVJmZlbV0CL7dOX+udqJt6PwfeAHqTLNlcWmqXjalY202UHbLAOIm8I2KRcOYL5C76
MRQtFrI2yq6jwKpPLWkVpxqH91Vk1eEPGq8YUf9ndzxsrj9LZv9JFHf/m7DO7G60CBbV5X++Lf7f
Rhc/frIz/p/r5sev3238Znv8+w/8vT16/yJVDJqxb5EDAtyLnsNf22Mg/4U9lhh6Ns43iWTBvzhm
sm0yiwaJgOrhP3ZHFxbRgoTmzzGgwPT/39kd6bex+73aHdmDOctC6TVh/TATeL07woCrpoSz2rFJ
kig9kKSorrzWgfZqhbqbVjy9WXrIs6LSK69q4g6eTqHrTenF5pFxUbp1pdmQRFk47oUUGEdX/Zjw
n0gtk29zAhMMiA3G0q0Bz/A0ly7+T6cxxZYxlxVdlo6TJ2QhTNU3cENxsSllUjQrDrkR7WUIdaSk
8wse2oGThuw8cnT8qt/C+jFRf/v2UzVPSm1DOnPImEhczjaFCRtvPQ/BcMMumiYHMHNkZpujmMxD
PaYNDvuZvcXo8R9eW2ZNxIxdVTgiJ0dGFwU8pxvaH1W4UnUPfUemQ+Wsa6MmiMzyc/EcJ3BVURH6
FMC2bdi3RRza2LTDPHqssTUjtfTD6aflGt11lWbhYkQo9NpPK+KSrMbuf8RpOx4dyhLGPZWbfEMO
2R6akChRDCJCMD53m82Qm+5Ryg6zT0ErZ4EZmtBx8fDdd645PaKq8LtVMZsh4bWiZM/2Pbpo1two
hjFTmjvbailMzFwOF8MIdsjKM5T6sw1Z10pYUe9Mjm5k80AcjHYkbFjB174r6uNUky+3zQLyhNZg
lc16P43SKLNVFsHlOtZt64gronqHSm3r2WqDXYo90L9vcU0ux3RETyHUgkezRXndkpnKxYqPJO4V
6MGqYcufsc+swK4JIfbz6UriraXO8OJeXkWejyDL8AiwSgfYtjIsiO3SYrztEvGcTvW0LRTq4oHy
n+A7hqaMVki6rqWJhZVk2H4K50tOrPEqtxIHR6Dd7RIlJ0T1uPLIK3AHrCmB9u6YNx6HypAY/o2Q
fKcMLqydhnd0HMDeZP1XVm0afi7iIJ4PdO7OL5lTCvbNcRijYm9kIl8kD+Z6sfZsLeZaF5FpFSeX
x+Y2tyrj6I69oh4jBDkjsmuPB3chhFQn7aLBiwzocD70gDn0AfEJMjjAeZMgn9fnWUwcoCns+Jfd
t9neB9j5Nemc4rK3lHPQ/eItDkpwOEGsV07fRlfKr7ytleny1mvs8hJ5EbI15cxbNhqx6KxF+CXK
xjvVEaM2gTk+TnqAH+R5zalyCTFPgjLceKMFkLRMgZmk1l1dSkUfIYJREZnhzg0zcpQKEsORGctV
H9Jhl52+qJFNkQAaM4BIJ0ffZ3F13VcNgk8xDyuN7ZKmUtxdhTEUXGeeOo7wCJ2dHHmIY3K6A506
9bc0bzO8DaBvi+q31sm1Qna4ckJcm1nXdYCAWu+q63jLIt9Av84/QfKlikeGnBWLkXVv9zz/E9xY
Jw9/ZTLeS10E1xxAxe8mTXjSy+qscj3NrM/t8JITt9ao8dkrujONrmhdDwZ3vrJyYtXVbOCXoYzM
dIfqzwFwYpE4aCX05OapbM/TmIz7os3ZwE1SowfPw6IyOfOjwffepWk406606z18p+HCjxVGKd8Y
7rDd3LldmJ4yTiVYFbOepmlDHLU92ltljcVNQ1DoVnrE8KKQmi+R82qbgml0DrEM4R4xv9RUURzG
1rZdALnNaqMHrWROD0nakQJvhcNlwLGA5HKPBOLYcX52dfNc1RYJ09qvT6MbWjuY28GWXjcsJ9Xn
15TPLkb01jyNGCaeyqoodoKWLj+ewL9ruyOxPOsFM0QzZCXsULhunan2vw6BGf2qVI9D549d9e+z
3J8pAED23u5OsIEWoaNAGrV0095MqsuyqeM0FvHRN9u+24RyyN1Nl5TTVYv18stQdjZrXInhbrBq
KKQFwRn3BZHADBUy+UtHdZCeM3wEe606B2mfuaA8m+Xu42mTbFODGDwMI15IXxndU05Mmy/jo6Nz
f7gaKWNJpFLz8NAS9n07Yc61Mqaebu+cVcnsX8yzVtexD97TBiPc4kCzyOnuzK59wi609Cti96tq
pxLjiJpQuntgPMAM89dXoYd7LwhVexwGb9pr1vczCG3jLotxZc5WPx4QpAUnWF/DyjdpeVhEqPPa
h90DcSvVxiW6DDIM82U6POCHO+oQtFkOoOuRfavzSwbUKPzX7kDo18F3G6NEZQvxNdvj7SC7ZcSR
fmjE5OTnnp3426BxoxVCFDJ7PW86ta1JERyV9cxpUhi3inPGdiw7B059a123VhzdAULZzlZDWy0B
CS+LeSFHpLK8ygMQwz7WqyucFc7XwqhgTlt+ve44pO7iDgJuJNARVSLudlbk38WOX6xbwAnpdNYH
3Y+yk0TeY9wzGVVfVulT39NcNqR/Xkrafg7zvw1CjfY2Fgo7dcmFo95YF3phiDFwNg5E/yU/6GJh
bSJzEjc5edRGcWsOOrmMwzzGE2W5130SHzxmlke2FcVoxs0eGq8i/LdldHycPU1LbqrafltFnK9w
2BWP6YRnV5jVEyBGZ900NjbeGTKF5Nm8qr1a3iWR89NDwXdbxrx5iDv1ZQu9N9oZftwaa58+5nz0
SRsm4LWHwfYrm+zqkTEpoyNfeQE5O3bvXFZz1Zssyo4zfg1m4LubIBfVjwmG3LcupPl454SGWfD9
vHpau0z7v0krii/9qrMuk7hwn4Y09BbnK0P2iIzJJzqggGVztwesJjtnHxjEcXkx2exmnrp3FtTr
nxaixJUyl6SNYtQxsGE17x0CUNdZrZ0LgmabC13qAAwfIpHvTu5Ht8Lu7AuAi1QE9cA+r0k9cDl3
bl3X8O9rBgArO7HcH1S1MLRR3EXyMIg6O4HFNXCVYzYVqzYz1O1Q1MOwRv1hJVvRqETQF1wk4zYF
BwRanp56p2jXbCJWLAwFzazrNXKi6BKCXsDlNFO2fQ93F8Kq+pZWQf51GbP+1qWrD5ReHSmUVonU
oapTUl8RQPAi6OJQTcHM6ufjQd+CCSweXAcro5qUdVnaeX8bpUHwqFsaykluM0Zowuh2NhQljyWa
4o6voe7lPHN3a5KugWZm4uT6A+y+2nbgpvitdx4rUqzXDaTcLayodms25rcJA/GJeQSmQjGp9FvW
Jd7jFA7PfaUNAeKz7w9SFLv/R915LUdunWv7VnwDUAEL+bTRudmBZDOeoBiGyDkt4Or/B7S2JY20
bets/1Uuu2SJmp4eYK3ve6MYI66uwYzNTUJg9WtNP0NIMyxqYcqmnOyNyIf+XitT49mXNh2kIutJ
yg4a4VAMgq97C2Giv04J8RpcSsoL7b7xXaT57lvZVPKqGTOjAxedwGyLhrkk1+gSjNU+XUHNimCh
FUm3jvTJ+ugsI96WCqHyKx0aWa7MLum4Vwu4VOCGdnxVnVo5ITzHIp/7se4uRO4nB8WIq6PR2cNS
pdj1U81q7Hhq2zhPANl1i55dKDrZ3CJg0yB7/Fl0w0i/ZSmjzCuVGsFQy2XxAq2S3ZuDk+wGGgSw
kiHlx55qwA0Zfk5ek8skRmK32+w59Mg/U8depuRyVtm4MOUgXlu7HJOtNIbwfYwLsOTMT3v6MKi2
qYSPtzRN7GY6OMzYqlYmwWGUHC9rfWjtT5Ze7caPrG4fxqJONsg1pkfc1KJcaaz/WzOQykPemOGl
tXLnvaDJ4b7XWKHk/EiyPCUy5SEAykBjG8PJORXPiFdD2dzgI6XeiggP9h+ZDUBDbZClC9jc4IKj
jshDNVLOYyw57G01REkup1T5ajsjx2WdCaCdplHN0+RGcFtoffpjhf/7ZQp1/R32bcS6HovqB82i
yU6rLJ8aFvRXz7mE0F0nWDeIITOMLxH1/RLjHF0SWQvus6wiW658SjX7RR0n1aOGCWDwlFxmK/SV
TrHgEh1WbkJhA9NBI5HAhFN7aOrYPcPhuXd8P/lpaDWmTqupX7Jq0AA/9ZwWQ4aXkqrbqnzJ2qKt
FpnTdrXnK5G50oJB7mpDGTZ6xgmwjE1YBS9Gwxks4lIWZ7JQonMXiWBbKXrjUC4Q6CSY02nnpXYK
XqvHSSu8MDKgS/K6dR/xUlNlbRb2g0at1jt7jF4QBhsZxqIiMnXkUYjqUz3KEf6pxZpMpP+zUNX7
Xmmra9ZXFC13SGLPBB6pxaVPZLgl6dx8IxHD5m+NaXuKQKR2lTnQPyZF89xVevMlA9UBaRsKujdU
zMyTEQeP45ByEyW9He5oqwwxl9hOeAjwbCdrBmHlGBRA5euuJMg7hHiBSdfDh7q3xH7M9bbeJ8Qz
UTPTUWa4CGpnOFEiXZ9pfcHXElYTUT6ZXGCQa3a21TsvpM3J+5pxSy41Ujl2rEpWsNaknu6wpmX1
msDabDl1PJ1EAoyFfa40ZAlL3HUEfTr9uFGrQX/rx7zeEdRD/4OWyMXg2iPu29oYaE02SiawEM4u
WLiVIi9KPWSLKDWHD1sP2s+gTBWUzDFYK378fp5YOSfeWGd7gpyozvCgBqplT2kNAIQ52IxF8fgY
gN9pC75i6oNct4zZpcuQCKysTxh/K15sEGT6aZeK7VS7eOraq2GmsUZUkoTwVVOdlu2AkJsFysjq
6CiG3KBtmWNVOvlcFrqfgN9nFs9wPZ+bZaSO+pLzXCfNCCXHhYJKpoCeTTjayMoYmS/sYiIOiqkI
fagoVpiaQB7V1J0WZdUGH1M96YfGcRJ1hftywnufBUmwzBDkHJAjV7QpDHQI72ekMNiRBUeFC5EK
42vpMrapXZw9yMqtfpjJ4OxUxc2fTDMJH92878ZFLwCFB1XRdoUGz2hZstuNeeh4E2EEX4k2jGzE
uAnIhMioZfGqxumXo+Y3KPBNZcOVVC2h3tnjVJaxTNis+QFgCrpp2/wwsJDNdvfSvE6uhiBesEQG
rrW3kfutxxR9BUlZ030vR/WUgs4sBeUTC9dvJHXqMi7uGsv1P4qpxEZm1tV9qsqRO7tpunVXtAr7
YqtHdxOgFPqxMH0yXKU/pfR+X4vSzpFJT7iD+a7Vc2QjPHfz0j82qWrue17469gy+tdKOm4DWxK8
GMn8q3Ds/GyK2rzy2DMJx8Zeg+zdSc1vn4O2Nw6ZpU0He9IwVph6t8O0Bkbc6vlGJNWisc17ZvL6
FjdTdSB/CFlspxfbxIqsF5U/uXdfJ/yXHchc95FBj9CkJTdll0eXxh49YCpjgb0nCxaDAGdofBF8
OUb44KOF3xpmucrqlHoW2x28gj1zNepmTQNN++L2xHZVSTNs3NCtVygpCLOhCIiWIefJ5cCCdS2H
ndlEH5oNYQ5aQQZpHZdg7aRpmaLbi9CPttSvpgffienXzsPICzSZvmKSyY+TUYH366wI3A7NFl1n
u0XaRClvSx80v59mbUcGnIi7gRVw/4M04U9iQdWEgCO0H/OzQfqrNW95v1MKKBy/+cBBshN9JBg7
5ynN0YvgVA65MXgmj9DoIdDTFmWnk043dvaOvFX/PxrB/6T/wn5laYY5Y6v8j+78ZNmsO5+cBc2G
fiNZOe6b9h3GeCAyrzfc5uw4uWZdEpUUmRX5YMNdPxbsfwQxtaiWet7v0OgfB0nt41M/ijpYZ7EL
fqaHZla9QSTZxtJoFPOpIpzigtaMb97S02enohFY/wbksqHX3u1c5jBlbI1PwB9QBG2r34t+UD7q
0Gfw7pzgwVb1jv6UKoie20ifPeK9cXTVCFCAHKInpw54UKJQ3lI2HxNuhiMW0kZNDiTy1Et9LHQG
CT04D6RReC0q3jvbzsYDlhudWoKA65A4+bUu02ehF+ptK4K9PWiOJ2bQ0p7hy/IbycQwyQmpYIOi
gohX6678hj2DbwgUDbT6VX4Do/CF9idcr3ORtH/cTcGkPVlEBFWLinw24K95YJet2RG7GTgRTcap
fCC+juc0/Z7ute9J3/2e+imdZwOI+mT8MPOasxNhyDn+3hO0ttC3Po65RUuEgEBhPa8ToEnWG8q+
dGEmrrNTfPGAbqDblbIOMIuBhCbTaC6U2C1mGR87CxI91hdn3mSyeache4a/nPccKkfbcOVM3M9x
MRJppQ1sRPNu5MxbEjn10bIuM3MjqhqMckZEPU4T5T39XrLkvG9RZ2y9u/MOJuZtbFSAtyvCm0YP
LId1rXRDMd1bZpO8mCIt3+i2VrtlTkyfpM214ksyi9Q8tVT8hZvBsMDCAdLL59ovrfxTCa0uWoVm
F3xBthXV5d/DLuJPbkXgFoJ8cc0L+AnNET9T5rkV90Q5dbuIWetYKjIg0y2qlk2tJ7s8U51d5dTZ
4Pld4a9kXZydtPBvQkm910KxBoIh2qACTZuUYAkCkJeLHA7wjq2nyJcGOOkzSq6yXwSRXt0bA+lH
paDVPaDKjrAKeUZ/f6bhBTdwNmj9jYbPvIVQkP4Hdgh9Td6ytbPCKrklgFQC6UPq6pZ2T68SCn//
QnIrmSV+gE5R99eaGtzzjusnwjOOLGakliiG2nPiqSZ0qTl1XNmVY23DqDKJorIYULk71G1f2ukF
5lO9YGVE4l4YZnBFkZ1vAtLoVpRZQzIXejGAvREVeeJwqS5O3ZBTxiTTLk2wZeoHDN3tV6ZMk/1U
qfDynUbQEQt4mX/aXYOaMXE6BklkA8Ltm8cpGPxlocf9LLlNly6hDTSMpLb/EsIqvEiT1i9vyIp6
7bdJuIlIr4Eg9w0bziJu17E9BtvcMXnlDAtx/mjWyB1GGM/PzHddrq9O9Tdswnm0lI07zv4HtPcL
u+vdraXW/q3fu+F7RhzehiqeiJqzXLmTICMgBREh/pHZ79MYwaBQI+0EtDjxVDJ0pjGUN94R5dUl
InXFv65FNuXkNKHEjgDnLasHdfR5A0hfWPRDC2YGkxOura7jSpvMfj3atJD1QouuCs1oj1WMJ4BY
CjX0ir7iaJJDfDs1bbAkIVk/mJxSnmHbLS1xdIQNAbledqjFD7na4BOlVgEzGKkLxj5Cm5KyxFj+
Dc5hdWNR28N77cb6TZkV9647kPqWAlBY3zcRmmfj1lLq4DhMMs2Ad9TOX8QkSTiXPJkrIsqZRNK+
+SStld3k+d88kzpTTjWo7oTUa2aiKNOBlXKjkT4gKxfv2jdr5cJfiW8mq0EBukaXZT+m30xXTlO9
ucDsMicbcXrnS0638iUA3Yu2Omre4EReh6au5nvs0+gGWbN9C/oI25lti2ed16KsJf/NZqBbR8Jc
612dEgg7DKa2qwRNbMu+MliuO3cCaiKyMYm3sWOhoxgBMMxlHWnFQe905onqG9OVM7ybmNpz5ZQ4
XtCqkJ/5TFU5L4iIYYbsaF/5E8a23rXXpVZ086cm/Qyi9SBDKKJGKcxtmYwNOqN/sa5/gQ+jEfoj
d0kyLsoeYRgExaPnnrnN380VKsh8AiRq79yATCX3XCX1Tdnffv8if0v69d+VF1+LjP/83G/8f1P6
hZN+Fmz+69v+U1fOMZqK+i37mdn+54/9ymxTREzwByEYvxYU/0prE9w/m4549bDsCyQb/wruFwY/
gRp27i5G4WXPXey/BvcL7RcXowMeGhSs/Cy15n9D9fWnG8w0DAfDBKZGKG2TzfSPj4bUmonQxazf
5r1RMBTk5WYwq2xTx9pJR4m6i9CPUK7NYhx0P4Rv+cfABKn63Vf2Fw+o++1x/z29Pn8OOHxSJ8gJ
MYDO/vg5dDdQCq3w+y1vRLptbW1toPUoJs/qUCUfYEAr6+KTYNlFoH8jAPFCBP4xZgZZVLV+7agu
bcR24l6ITrqaH/SY1IDIaU3WJ6zKln0oNeq2BuwVhtnejt2IgZOOLJP8PLieh4HO+5G0eennqzhr
LjKR5yEh6UkHjcI74zeAo1lwVmIELrGZXLtIr1eNHrwZdlIsSYCzlibnYklMag34zy+07Bw8YhxT
z01TXvURn4c/Eu+sXwaXK9swqIPmi21gQp5DC7IwKCZ1DYG4KKRFPUemrc0w8EZxLJRibVU6QcdP
SjKBr8b3ldXsCVPeCt3e5/DFuPagBKt7Kc0X4tttCkqTE9YkhHUBnWbSKJytbkZPWLBPtTPtLWn+
KMJo66ivSqM+gFzDadnH2qzvLF/biLZYgXosByGqhaC8DMycKOEuWc35vEXaf0aVbiGD0DVsftaX
cCd/15gCbGbSM05EpA/Sng7MCEfFwYlMEFlKYyX1mKN1n6XBrlbvmtz2sOJZpIcM9yjXLki2wQ1B
q666m5DkN67ItWutYV/F+kNGNtRCVSjhbO6rXH71mbOTjfoyERQ14mpehEP5TFP8ejSjg6h0E6MZ
EIJfrFrbfeDxWiQm8d3sCNjFMmbsfjWq/SlQ/GdqZQ+9pd9hYMKsZHcPmo5gWPsssuzUqP2ho6rR
M7pgWUh4WtgAzDgi9xKfuUO27I6tJwz8PSprgs2jWYXWAxSZuqDX4LMA/6ZlIlsWTZxBVZNFELcf
alsCSas+kfgjqsp8BazNhhc+xZl2NbInu66nc4zx96mfskOTGLe+7PuNM864kRUMO0NYS1zsB3Kj
l1aVb2kpfbY6/0eiFMdxOpfmQ2NkRBBUc+N0qd5ykzJ0DtOuDOInQ8sHyPFi2cfhZfLtm15WS6K/
1r2pn43xtnbKI0EMXlOH3LPGWNyw920RXAbLzgKslX66CuKWuxYLUAtMQrSCmWyd8NIH2k1eMAy4
1PvqSDdhHjgOLtEcgU7xxVNJqwD1k+/+RAnjkMMSKlp9rFyt5s1JUnTs+mqUKKYdAs5TZ10lFyh/
byi1W8ovl1phrFOkaQCE215Qa9iGw4JchCclYspR0g2Phr1USXvb6QUCu15TO8+neLTotH0obAbf
6SHqhbmsOvsF5Nf2EsBTvPDkmDNkZPJsi2ZDhp+XT4596PNhhdXqw+oNut3B0oxAnF21GxYV9F7k
Bjts/695Uu2izvwsEsq48IFgriUbVhTZmlLLrZmrww3cM/4LG6876aN3AOONN/loBImBW+XapbYm
T21UvnlIuUBVdk4ZHal4G5ZQ0LhO6n5tjBCYimVeTKZP+q1QJ+TlFZnRpkdX40VmqIFol++F6S6N
0XrMwG4t/o+liJHN4TxajpI6z7B+sKf67OftSzdmJVx5FyKRdx6nYby3B+go6RJ92x6KwF/0WX0F
TztPevXSpuarQPTJMnOjjt1LNSZPyWhnm7bk90Fk06gUq7qH5rQjcTcayp3r8PVk+AwAnPYA75HX
ESa8qAhDxVdSx1vbGXYDVLkQ+maqyy89yTZ5F785AXZ++AyQ1lAcK0jnRV6V0tMq5wdq7Udpop8H
nlnBqq4rfY4yNAhbR8iSLBot3zqT+4YeFUFo4/L8teomtZAtiFh5EGz8c876ijfs1I7aU+XmJFvg
DjVoFfXUrHmLE5sXAwVK2A4v2IIuROhelcG5Ufv2NAm1XzSsD5uGtGFRBLspMH7gRICuRpW4BEm7
mfhaFd8/MheuERlFCEXA8sfZWKMohuPRtAwbKn1KwilIl9WuRX+xgpS51CWCqzEMqAiLlaOhmjk5
m9EneoxNM6V3hKyT3a0Et03abSqb56GmfBMusbbsY+fqu2Iy9kODcqjeW2HrJWSCbgukCWwUe8t8
6fTkwc+aVdTWG+CjBeYSryo4hFT6FdvQ35S1tSyL17DJT5lrP/W1tpOpu2xT4zA07XboS6DSfKlh
LYN5tHZqJJF/xVSy2veVPywJMUYXfaqK9mkErR+GdEsQNLH32jMq/rMYekxwbrCw3U3U+qQmN/52
UsLZi1VfLb99qxN2iNCgHs2qnxykwmYKuoqoM3fFdki7G82+kWDXKIQiElzrW2XSj6Pk5CqltXBj
XnnFtC+mDH+U4yHo7VVhq+dQfmX9dML5jd4EC5iqf2G+gJLr4mWXagfmN1JBoy+auD/DwDjrVnvS
rXobJcEVCd1K7ei/M2v32YnJN+6+WkwY6EovEztmY9Yns5K8hMUzr8hjNZp7O33tHUJf+/w1wDrf
JPFNp3ZnGxOITo7YRvjhEVvoEynsqFgKICV56kiFH0tU5mb2mgVKuhwV4921q1PfiW0hxyNbZkap
nu7FrrbN9AY7XffWTR294+4qRbWBcx0kPX/P9PEQKkcHZV4uBX7DwlxYpNI3BOplKSLgGPInuhfZ
XudQCIkM4Fju8Pm2GSboboXGejPoxyl2doNIz6ob/eidHs1UEMERcH8WoOgSkUtaURKgHgmNhnl0
q5vASG7r3CIx2rrrMjAgFGpR1r6Exzy9Ec1DTGqOXinrsonRKTRbvDT08vXEe0Q2qNMkVnnIbyu+
YDrOO3uTymELKflJZtUhjCAhK77AWtwYmWAJpXrYhWAKmvRgSNIFbOuxlvW7W3X+qjUMWn/7kLRP
BSlV0k6enEkCenduB3B6zwobEk9VlcGmgKYoet0bqAZMKKmDBCMdyzAvZWi9QKh8CL97ogBoQ05g
trCN+rFOyi0q6cfYrleEV3uW6DeBZJiZrj2kecfBS1+Ep5vZXVWS2uY3m1EzV3aveCI49oNJcwYF
uCCftBMVnjt8pWHmkSbUVoQDZ+7Fb6NzDCMbjUsrtT15J6dwXTTEYObnCjp8qRAvA20Ycn9EWLK6
u46raDmyqWIJmNyHwBZPwaDeRZ3KeeBQ231NorkYD01cZFwmnP5l3d1INbvttUum8wCR2T1Frwqt
t7JCbV50iAPi92Fot9YgbqKyDki2lnvpNuSmVtaXmz+GvJtjgTUB+VdMmq/vskigOojam0hDZp46
V4tIK8do3yLCelXV7ZamrwI3MD90iv2UtBCKY/VY0c0+VcquEwdy2sjm5sgyGEmlb+2rzLrXsmtv
roJiBAbvmqSi+sC26JHIsocAIZxHh1+0dwkE6WxuZCzb094mchD7hUWIthm6WP+nYgcDXjND1m77
DOFYPFbt1BMxY84N0u34lbcgF26Mo6tO9P6zH4pkRZSWujHNmN1hsnyEHB0Ai2PKFYJc9cPK0/DW
0TProFaBGSCSs7KtK8rksSBoYUXdoXsHvMw3qbTha8Y0vKXdegY+sXytWiKI9wTTic5DmhOuIN54
YdNop83gFOpE9Qe/pPOBP3N6h3BTt5k5tuQlx9p9YdX6WrOD9uyEJMupeZwdVMWu79n3mI8ZzCTV
2nlzi6tAvzp8Yk9xK+6WOBx2qtaUh6I3YLAVyC+7DrjjJoVm5VFzdgE6E8gtsqjAv8rqmBdxsOKu
gXiGVt8pBG8fRW77e8zHzd5FLURTgsLqJWuX7x2U6diSquLlYjwWjqDKIxjV+B63tP2o1iqIeZHD
GwEzrQNat8+GnIoX+pXcE9hR9cCiw/vjNEH27sRW96ykujkg3Qzjs9G35tV04/AOM8142wxuedIG
wPbeiOW5LtzwMBqPPWpWKLx6406txFijGQ+KYYz9Io9G8WKiLVzLquQoA7W6rXu7I8B/osaTC/M1
NCN7mxWdg5Nbyve4nvJLlw7txaQ/45x2WrzLIgptkKXPhvUoXISF061RzUKZMtcvLL1Ej9BPKAp8
oXmFEWewVUG5yeYFG21bRGFJgBA3SQf8klAiTzr0mic5nl5jMxWnUnY6YhJbO6DHRKuEsBgfeXQp
5KsMOy+OUFL1bTqeIZ25Scts7O8bnsxRi5bNmG2KQsuXXTV9wOkCvA5NR+iT3199xXpw8ulsVcmL
Fc1MW7YLCXgypi7l2EdcbslDFcUruFkKLG3TQ6wQLA1qR00UeXC4z4NS7XoqycFmjU8r5TIT8ZtB
wBDaIY9IjXVLABuR9wMXg2FK8HvHtU5OYKib3K+fpCiuIjd2keqcUqNb4rbywljnE3ebPsGSXD9q
WuuuSqV5JlEhXIxBxESZWdfe6B98RTuXIxozEMdFFCb0rio7el8x5wf9rtQqY2kqIt1m+RwqMonz
6KAXEUbqFXG+cqsQUHtocB0xlDdRtOiEse7rdp03FFSXq6Z7QkS3aIvm4IYUlJIEE6T5V5k3D/8e
7NC/Pc2/gR2OYZkwOiRSWgRQYkN2fwJd4MmYmExr2FrpE2t+dJhkJ89ygAHG4T/uVSuvTrIIplvO
p/BuiCzzqpFqfq79yhoWjZX3zw5S1Hf7+1VJ5rdmnN8fc36TwvmdSua3CxahOmjfb9z87hVTkNwP
eg6AUvBqdvM76sxvK+lt0x4PT/Pof7/MMtAb6tESZR/4vOvj/NY78/tPGUewyrKpOmZu426IUUcC
RZ2hs4v9ZFzmWk0lDEDkGp4wQJLPKUNR0LALfE4etYWorIxBv9rmyLmkNcznQRi292pcNPdq0WQH
4rcQWU91ew4mtjF3PumEj0+aQESVr4tz0JxPRCUotB9iPiXrsY1wrUGol1W4gtTiMKWOvODuDJAz
fh+2NL0N2zFxwte8ZM4o1dG9M+i6X4W6SB5hcFgYwH0BUMLBOlTjEN4abqF9+K4iVxn+Pr2MueS/
L4GiS7TNMN8MzXxH+PNtUcz3BvW645c63yX1fKuA5xSP2nzTkG/EpcOfZrELKO1ZQaFkH858OzXz
PYX7PtxJWdwU8x0WzrcZ4vmHyEeos3CmZvoEJDwgeXBr9FZa8zjUmfrsjF1LHBhty0+jaQNqZZ0Y
XwbapnhrdMjqMgCASng2V53VF7R+MMAJQvwWCKdPdpPmJ0KtIgKMREhDPU+eTgdIydK2tZTQRRFf
2ximMpM+MVzhE8sNMtM1fgYbLUr7/StSs5x5doZaj3uaFmUepjwMPSyc6aXIY+vNqYQ4ZDGHxMYa
HPZVOGcmBfIq8mFBBHjyrqvlba+nGN5LVZjVOkRuXdZsC14HXQPglZGdGKNAW6hmKVcIiu5Cts3t
oBgvdQ6U06k9m8TEXDnx+I44E7hs5MpV/GscV9e0DbOVMsT1Eq1HhsouJ4+Phf0HS8yT4qjmUe9c
d9WUxgPqViYgReh40vAi9C0CEeRe6Z0zWMqNE8lkxUVPkZyaRFdbbcOF1TbxPrSsa6TFV6SM4SGu
3GSb24zZXabuA12jcq4PJdyN7Bl6WspNqCJ5jfD/bB0t+hpHJUEqOoVMxUlHrfd4UzN/LIaMf3zg
wUC+1T+bnVbsc5JK1rklDYJVCrGpxrRear2bLZrJ2DhhQVZ0PigLrAXmGjAVWEWt3+CwbpkLxUK1
JNyHNjyUhXwkNCy/H5SSdcxJw43Rdb1DkUJC0qNdhss0IeCO+k6oIkXTNnpslWsHlSjKur5Z94J3
rXDANX305DRuj/YikM3rkPf2DnMfjMeUv5paygRhYm1IbUJSMlfHFQANwWMVNRgdM+nV2iyOL7EX
4EMhYZVKMK+NTaQhgZsxWpQq6/zFJIec/kkmpjFk5Q8dv3gs/JY/4ZGtlUIIy2vc/srPmbtAN1Ou
XTJdHxrcrQf01/5OlK46cyrRsfDtT438vmsilImngANFydAT9+lXrFtXfPGkAmkRbhIlQEZdkDdQ
WHx3qRt+krpoLlIqtRZJ1WRLpgLsKWP0Po7ieUhfkP8fW0fliaADaMzty6QVgnrn/MtqprtRK7Bk
IpwlY7ilDUVxbEHnTxScmlr0Sz3mcNRUFo8+d7isiHVAAynUBwLFG7ZX7UPi91yZVfxgE74O/++u
FJJI2IxLRBeBFt4Etn4Y7QF1q877JWsuCdp1oyWA9IneW0GtrF1U26il1yfEE7sNhmB6jp15yQz0
cT1Jag8WsiEu08MvPL36UZLh/SFSzu5SxYPQFWe7jcs3usP1XaBY6iEc3HiXtkZz9gu7vfRUUVzQ
WMt3n/PnoInK3sp5ourn2Qp/WHfCSp7eDt+T1zyDCYVYbDR+Cn3h83TGiWs8OPPIVs/DW8c3/n3x
/i2G6q+5pz+YMP87Emvzozi9ZT+a/z9oLDCxOcPpf6exlv/qpEZJ+BOZ9esP/5PMssUvriagJAn4
sRAs/ZZiYKu/kF4Aa4VkyDboj8CE8j8pBuov/B3ILgyj5MxRhfIbn6X+okP3YO4EfMF3gXXlb/BZ
7kxl/jZa8ZkcCDWBlXK+ShwIrT/ySGWtkHOaawbwWfTV2dbJrs1NabnX2MdZzjixSkciI3vuB+YD
KkCtF7afTee+hkOXIqMLDn44PSadtSHod63RBRjfkGJOORskig3q7fdHCkEeKxDLpA3W5WRu4qne
qqVXhP7KSEsmLs/qnLU18LOEtKdxvUVXtkss/daqzRPD4WaojFvD14iJXAhS/7m112PpEhVb3TtK
eT8BDfokIxhh4SVYbdL2fUrvxwDbWIbBQFpr2xiOdumgzMtutNI45YZ8LHWiBNv8gi92VY7U7mYW
W3lLdIp/nehuWTq+cW0sZqYhPme+gZghnC8Qs95OPuKMOEhv28De6sAzoMn9a1u7V9Tpz7HBVxao
BnVw1o57eYXO5AOBybIqsxsDs/jvnry/YAN/JiX/+Yc4S2sQnhHJ6PzkZhqJ+WpCmB5aKGAlsP7P
UZ/BUJ3NcTzbNVmmYZh4yWSvFBp1gFP+gxDv5/AvljfCMMh4ZVC353ipnyJ76GwlwUHQy02/EkKC
6Mbp6rVUUdX2o4lGKhRnw0+sTedPF+D+xz6P9BtTM5VdZhGLby9+jAiO15NVWxSh6dHa1vxs5RfT
jUzrLfaHxLOcQNmpLbck0ewcsGm23CD+Q4/BxbhwhnQ1kDxO75lFOoBvAq2grpUYRrFgoWtoxMeI
InYxyOm2U6PN1JC+w7v3pFfi4Nvy6MTdIUcsvy+qMjj8/YP0vzsl/9d/6v8q26/bMM//7pj8rN/+
8ZZ//uP0FrzV/9i+9T/S6KfzUrW//y2/npf6L0S+/HYo6lD5/+T/v09Sg0wo3WYNRDz2O/6fQ1Gn
NsAxdZ4aSyDo+B/6X/1F1YWFSFRFOvAtGvgbx+VPYVjfzzmqdbpKXYyoRGf/8bSM41ZI3U/91YB7
LI7lxjLCNXsZvcbG5nff01+91D8F6nEhUMMwB1vNkYJIGH76tYJMYaQC7qdyuVj3dn83ZtW2Sex1
ThjX5FYvmWp67fDk6mvFns5BNqleqD8jwVyISB5kWq6RBm3/w6fim/zDffH9qXQxy2P4eN95Br+X
xvhlVLjE0vqrMhxXLSxeag00Hgp7rSEcnfAG2Urm8R6vHWoHkfovRx9k2QfQMVuP+Jbbf/+BMEP8
+RM5QicPCCWewa34k6YwYwZXqFv1V83UhRvkfjtyu4w7fMT+WYZ4v0pTSc9l2nc1CXUT+fUAzO1k
gvwmvTEHDLwqdW7e+q2Wok9y/INhRDuU4muAJRSv+fBqy490zJc9YkGryI8WIH0yYO3qIRTNhehw
I9A6pHMukfgFlBbBEU3LCtyJXOCjWilLXAXr0siXcYrYFqtTF0Z7S7kbRHE3+dlSoHI3KiLNnXEG
p5dDRymtKvaBhaSuKm4aS2zR2qPceMaEvFPCypv6dyU/WIybCyCCfUlcjTC2ifvYd/1T3yV0SI9E
65fS3hntI/3l9FBis+uLjc4VlzUpQtfgFvYrsuNT6pge0Z6eY46rDKDSDClwNvz/x96ZNFXOnFn4
v/ReFVJqSGnRm6s7wgUuY1FsFFBQGlNDatav70flz2F/trujvffCCwfGFFwp8x3OeQ7yv2IVeTyq
obyybbmfWhvBSczoXXX7JvPnvYEBg3poK5guE2u20oxvhsTbg0Kb8GLRAiHDHXd1NeztpuLu/O75
wRUIgVCWuIQKFw4Y7q4U5g4hkJlbHXU7hnHR8ufhxwTOtm7Gh0q7IBfQyhn2se88tVnGYStd4jjo
VK3mI5F3omzOJRarNIUFtC7wzOCqdngzB39nZviu08d8rI6GvsXSuEcE/z4QTuU4H81UvbXtTxy+
8CQa0BDBXQtJM5gvqWbOQeyv8uUeq0sYR21/awZu/cgq7i2WyriBb+BsJXhog4nHg1jwsIYxj5bo
IpYSyql+xoBU0k1d80dDmpqxLCiLrxY7xb1Y4uo9sFNJD+auL03kbfDMJSc5Oo/S6sWzl4vhBKCi
/zEOa8YOqh9GKRIjFkiL+EXVeUkEtx1tYBngkycrFtNWhMX40WdZuYefI7edxmeyKUdIGfwrvOnd
1XNxLF3F4m9qhvgmGbiv0eXdubr17vUyyIdOqGb/+z39Ty/xNNdf//1f759IC1bQkU5/dv9wvfH4
2xzu//slefNepnWv//W3/SGJc76h82Jw5TsEbjl48v56Kwb0FwEUaphmv4mQkhP7r12E+40gH5R1
lPZMEZkj/u1atL+RG8ZI1eTeXEnL/5Yqjobkz4ewT+XHj0GzF7DFsSDA/vlidJsWQxlu6WOmU3Wc
2c6EcRpcofFB1NrFBLPgXHzKcaIfiAZ2wzhZpmfVdiAZrPS7joPmxmh8lFqRmq4lW++HdnDIF1W8
kIuF7Gt0wJDQ1+9Bm8RsUXX04ghf3YBnP7Ua7bWD2eqaWOgHA30eJ8WUfLhov9iDZFgihuKS+dmK
3soAJjIRntmXNb3D1ZkGUARp/J+CefZDIEwRp8tc3+jMmZIt8xQzJDaGiSBU1ENa5/JolIHjHhno
To/Mz5LXtK6/gDqUcht3NsiJKc3eUsEqkNyNI96/26z0sAMnRX490glsW9shf9Vh+smMbev06/Da
RVLdYih4oKlouCLc49zzno9qRVykLKMWzfpjaFJWR0n6ir6KXgXgBtP9EpB/244Nhh2bTZVe16wB
GyGzj/caRkvY8ojkm7FT9YM5Zp+j2zp4FyKoxMnMFtMyRwQHrfmmrAlwBnOJgax4gACEk8WPwziF
nT0aj0Mvi3toasahGN2o3NZOZN7jofNZ7sRjUgB0sUgatDheWoKMCcejNM+hShSJWTJK6eb7SMD+
7RpHAd/gvN2SfszFVtQAS056KYrreiq6bB8tIicamojOiHF4BI8t8Y3geqhYOXRCR/rUouZLDgyU
hqumcxvEMcHSeNvBhUGMI9EcIuLcsSsT6uOwdGzs6aXEGzMg224lSkLZ4JgYyLzF22LMwaWTEAg2
Cv0yQbGBdAeEGEsAEYiu+LVrPX2zYAvDg8tmb/U/Rc5dQnaOte0Y+SGpKkwA/piMkcMNd65jt9b9
nINJCIOspSUyHVnI3ejAmdsE2hrHh4xpMXCAGYs1vC14RSFRofGyZaIkCIQd8ZzVqbqWuo9jFIS1
rg+D1zBOy7BqX3W/N7qjpddV+hjcA589+blJVDJ5CtBoEB2andoOmKc2tpTxzrFvfdN5LVp5mbI1
IjY1Rdim+ph0ToJOw7wpSM9ePQcPgz18RLXz2JONPlvOfJsG9tFVJNyOfXPOYhKw8wqTBGFKA/aL
NW+ljpew0xUfmRhhnKtZnWIzty/pbBtfPM7bisS+YDAvogOcWk7+vWlCaqhGiIccUftAiXrLr/rL
Xu5VN6Bk43uIk3pVhsjuW9M8gZFJt6PWeUE754SizbxtlRufTlrkREoCa/OM9uLDp2sBq2+aEXfO
4PrxEZVHwb2ZPClQfJjbZcauzcbQu+o3PQ/LdjDDurBU1YYzNBdoHpXx7jhoyhp5wImbwKCoxg2W
jdX9YFKCVfZW4jVvUJUgeoyssrox08x7C+b4kejgdJuyUjmMUVHzymT73GGQYNlyxS9G8ufiLO1O
W/PO8qcWUCEMPpt1UFIW0Wlw5SNH302csVqxm1ngwCXVCJPRnBUFcjbhHZpAH1Tt9wcahs8CKyU1
7fwV59GdnYzAQBaQ7k6L+moZrK+x8/OPfol//d3t9C9aE/E7K/ZvUyOfyFFqbfCb9FPkEyDH/vNx
X9YTqJjUCo5GTHBRogAxB0uBlTueavcuYQychiDusCa62A9vzGpKXyFDg0hBk0n5jBc24ZwkAQJM
YUWplIm6X50vuZ55LlPfhqWSg6BcrVovlS6tn9CXeJ8tPULIlHUhm02hFsRXSDjIw5vQ+13lVkIH
kKCsw5tguRwWWDuv2b8OwOV/nyYoZjhZmt+nDPKw4npSU4KKopulQFxDUZloXeJhMMEwQNbJHrrM
YGCPoVaedIPgQo9ejL6Fmb5Yh1kJcusC4+sI8GPfp+nqCR/O0JXGaxdRNULC5NqOsmyXCQrIXATJ
Fh9nEIoSFz7ojIdFWbAJOM7OXhm5h6YR5TZgax8CPMCBPEUHbOziCs9e92WxL8KfHVe7xoYCvMvb
htSTNgcpjOewCnp23ykyu2jhbfHMTPN000hXoVNbWf6Yzq01Xs+4X8IiG91N4pIwOAXQbelQ1DYI
YgQqTbBcKESJkjXVbVrp7HqOLecCAwCTsR/F5Q8OBfzvjVz2bjWCnK5ghvKBNtkdVAn/M+7cnoSX
7F4XlbjyTMqmikW/dWOCZEQjl0rAA7ozs7Agtjs9K1aY18lkIDT1lXGQQ+Kw7BuMg8Xw/wKDJNpU
Mo5/Rk3K24qTv3+bXU4vBFbijlqXhQ1oY+hu1odTRNbRnFq1I3uyQfCu9KVYOQYpLKhCEdBkNdYV
t53GlWQM135MKJc3acJl8JSHtPGptnx0qvO57tzXJF6mHX+574BqiI3LU+xTkEF2gFaGjaitJxV0
jBv76ajhWnHPEUg32Z+xaY2Iz42fJECXCboo61An3ZVNxgkmonMhrOtWRd+j2N4CZzhhrflIQVBi
xr81hwEiTN+7+2npP1UyWbdgrb9glwbkm9fO1pKm3vuT4R/JwHuH+9FeJWuH0np58jnjN7oaPL+9
V6yrT7DUFpThWKuUyv3DMLQ/KRZpSV37c3CKYA83zwuJGfC3ykrTawduxwKW4aBm07otm+AGMccc
2vgKdyXA1q0trWpPtGcUNn1bbgZX4zaoe+yFaBsDPuycwPRd59dbqoR9VbfdzVJbEDkXZqvSqdHS
TeIR6cx0U1hWCqtZlGcwCR7Fh+Xdogez7nO3bC9uGe/wtqUnXMRFGI+IOMkcxw0E7VeMrJsK56uF
qbETvVX/YhNDgl/uVXunXyo6W/AVthLr9taNt5mdZ4dmnFZ/9brxnX4vf71pFt/l75XwsG6HUzft
EDc5JoqTNMt+YXpmmawidCZZH3crHXpq64OhkTXu0Ker62i9o/V6W+e/L+769yXu/b7QbQhbGAV+
X/TD70t/+V0ArJgf5PK/CwPnd5HgrfVCslYO/+m2fhOs/1/dlvN/jiTDhHFkyjAy+eeGa/3OP8aQ
3jefMNTAQSdAaeSt8UZ/jCG9b0A1mUN5zMBI//5bv2WztQmQpwSrLd0mF4gu6I8xJF/yfAmu2iNr
xfJMcnX+jTGktd6vf7t/GbFLnxmkZOzO3N0hfPvP92+feFKZakXKjrp5VmT1vDYSxKSPTnZF3ejp
Bxi1jyi39Jev7fJtXAGG3pAk/c5px2onh0rvpGsEr9oaqqtB1fHW8tPi0y3i/vt/Hsb/18NIjYRc
yvw/e39s3e9dl7b/9Dz+7Zv/8kD6WNzWKfa6sOPTNz2a+b88kL75Da/cOgTgCqX5Xr/y1wmA880y
WT6uA2tzRRTwb/njibQkEwWeIt9zIP5Qw9n/zhPJc/4Pj6QHT4MHMRC+CNhO/uMYluZ4yPnPxKat
SsQeo5wGpZkJO5wDUKIbuwa7sSO7Bcj2EEdztpFy1VA7E03hao4mtSvwxLkEA46WFkrgpo/gVWKA
Kx7zdDSe3HU2Fk/VcPFUmVxrJU0aXBc/BUigYCdtFpZt2Safg+0vCQO8wk9IXCJpNJpAr5GrhOc2
Ip/tOrZKh1KPujcEejrfe1OlIH0uj3Fvz1BOjmRd9P5GDJTefar1deJDIJ9Yn4o99Wafh9EUw42U
xQw9qBRjQ6k0cyf2xWI+Rm5avNrTFD9WAlu6ZzIKaPw5voEwBm9pNoblg9veRZ3oSMxAvX4fATUS
XZuf3EwAodHEBSPCs6CRQnktL1PbMsFe8mxXGvx1SjFdx/ihdpZKCCi2NVxxs4gZgZDnAAjX+lhJ
Y0ALqx7dZOen+RmDVf4xepDeGHAWwWdcGfGzAJi9KmawMkPxMgTluxjKbQcTfBfYubMxbQpakpHF
VcYHgBcFthmg8+Ea8O3LnJaEXkkxAUlc2nKiqCzNKlympgRnseT21obUf9N7Y/aelo76MkVkBgf8
LrUBDWkgssIMZrwfAfs7Fh1MKVHKkVdE+RtPoVfGACINGzisQBONXGQM0FKX9Y+kjdouVEQaISCZ
0qqhxxXI3I0qeQX+jZGI+MXkaLf8HGu2y4HIi9EPwjzuwNnjW0cfWkU6wNlDatOR8UT/WetyTPa2
qCbk3kZwkL2cXbTn3oziqwduKG0f7CX+//a5c2xxwXzunCOvb5+SMqneY/IDM+QslE3XrIRt1iD+
VP9s0B//aIOksrboZPHaBJmu36yexmSzWJ6bH7Ks1I+WtIOL41gkjSz1GJwzIOgXlTRALvwywQMY
TL6+R6IzvbQOZdsmUqbxRUCQ6259y9KvjszVh0fAxQEiMl+vRDA+tWVpo+7qlE/yeocQ5ciaJiEo
3kjKa7QpG4/k6vFgkDaArHAcXwJvrB/crlpOtlWu723eHEFGGRADag+hmGkF5hbZ9tSEkSnyj5iX
a/3WiD2vo4uiOZppm+mdQxFKM5t6l4JQLvYDTjGZ32PmHK9QD+x5Z7IeWanGfIA+xABWErPvbny7
Icm9NRl0bWRD8760CSjHyPuKCrH8GONpZyH+t9Vo/6yGgC2LmWf6w5UTpFR8ddOPiVkfNrWEUb3R
jk/Y1etz4tvRMWd2elWqYiyx5XZ8WaYQ22Etfl9a6STAg4D+COKSmRt2uEvMBZkVxkugjzD09gA2
sdtPfnQkFwZp5bxQBBJDy2xMbIBDIL5pSNRahIxeAkF/VXa2xGUIzzM0LHbPYHF13YRQ7JttspRO
tnGW1LRCNU6q2okodxSroyb9yvo6eV5kklybuZXHu6az8ewZDFZeDV4UgpeFTYxV3jT9D2VnieYV
6RhB5enCq70ot7mA3VbzHlMYPYlaamBcKNc2HcUEEt7e62+bJp8x5ZdVdepU2762JugftkufuRoy
qnnNOT0UBV1ZkCeA1HqDipqF47PZiYyEJbEwzUmm4bsTxfpsR0nywxpkRpaEq5ZdLwz4aMEUYUtA
hmDSbjeL/AlGsDjGyCDMJnVAHpdUHVwlLnNicFWfjhHLEaEyMmz+eON4k/bU3WHgxrNLPgMwztBo
ez8JaTGAj/J7evLIgDTxsZbFlr3NzaD9mp2W/cs4yQ10KG4ZZ1BHrXRzFXlpCYKLmog5HSE/WzUW
eXcQsMQTDDN49JzU67ALLCVSThzHcQoaw3OZPvc2+ylmgYxseTSbXxOB5ldmh1zNakFOoTidOJyC
onwsDV43Un1SnD5j0/xIJXjRTR34/n1Xa/FCgALwL9Tk4myiI38O9NC8kpnnX/lZERODIDu4rn4d
23c18VV3Huldz80s1z0qmsImlHhqbHQvFlqzNh1uZtlhgoTuG7/AIzex6CJ++2U2hN5f8y9M7K03
IJBHBDj7PzqQrKyQCtHe8N666hg5ggWaHl3vibNJnwcVZLdjVIk9y1YyWyPB/nIyNELGwkiNJCyW
wtobTZWeszmS35G1j5uimtRdngVmSMgFxsGxSi/oU8owWSwLqYdXMchImpeegeBzHdj11sIIWaMI
eOrQPF9yUm+3fZ7Zx8ZV5hPUN+NLZMQpbkQs+i34PPuUmRka34TcnydlxvIiq/SpqkzjElVztM2R
DzYbzA75xcgwEMQOoVDhyGKWZW2AKn6XmiX51h1/tiScZbZuowt/Wp+Ewq7fsYNG+6nqYxxxMu/D
dqlGLJ6BPMETgb5XjMvPIkEbaCxNpoHAVsld5RXtWdV45VD+p2+YA39QQC+HqQ+mQ5TiipSeSt+j
fnaYfY75g49v8GA0WM6wZZT7Bm8kXa8vjL8Eg899gvNXQMXVN9JV6q1IBuaWviUmlpdFbhV7aEUr
MbfmcGlZEp1YIHdPzcJGszR0wsLA1LuunUkOkXGWbnKmo9hjHfvgcACFKFiHJ5er5R7HL8PmdsSq
jxXN93YV85D3Bf7hjd8yqdpxIiSnoYqS29gcxKPp9PXFwmoHwCZ25dmMB1iubjI3YeGsyu7WFofM
n/xbIFFxd12yO4WiZybFjZcRgQX6NMI2m+cPHe3RL90UtuRWppRA/lXjC7eavMMiPmujZkfUl8Ul
nYi53bjQo7i/FQHBuu1SXNPg676LheQo1Kn1Ja9B9hBlLBvg+a1lv3sDRTN2vzh58Zw20czk/Mpg
s6LBIcQZs3WG44zTSA7B/Z/283gKSKSujt2ced8HgzcSa8HwIOOmOXS5su5GkQiowm7LSqg3OB4I
kYsPniq6H+Dsqns9x0bA7r4nn7cxm2svyXlXF6ZdZznbSJO9ZoQibxv9PQUsC5omGJLXxOrwYxTj
0JEinCf2k5lNzXc03/UlaOG5TJ5ebv3ewwrIteVMrKBAjG+0TuFQz0p+Vo4DUoGs2/nWGKLyKqhL
86CXYBpCPXbGTrbS+7ksfmdtfe3M7x0KcKaqqjR2zlwPH5kAs7MPbHh5IzCbY9Yv4/2QY6n9y2/Z
OEjTa+QI8OPkk43mZTOSaPadlxMBeZOW9cUf1coQU89uXjxgxQP5U8TtOVAJ+3o7YuSWO4zwSuUC
BoJR1W1LZMZyE0Ve8J2ZEDcImcAxqi6HxK7NSv14ybyoOQfEAD4EVeU9oGSvb2heinMbz8Wr4Uek
NHvENvzEEZ0cltwg9G4iofd28r0Bh3HRTW9+OpvzVTXZw4wUwhryq6QUFuvyOJ6PePncn1ERo6wu
TWwxJVpaYkFrkMwbof2AmVe8HC1uri/Dar2vOI50vxuyfMk2/YKub+spPms2inYqDqIK0mcosGJP
fkH2uhjG8mAGCj0+cLeAuy0ZXiywRQ9yFsUtXMXlsqR292X/vnx1lK0xoQsT+zGOHuZkbj+mym9v
JGTOJw3a12ri2GO0PnjvCRhVwMGOn6C1j4h0BKaGF3lYhH0H0nncmmOMjSFJZ7ZabbE6rczSyXP4
A9lKz0GBHbZNxW6PEZj7asZWA7O66ZiDmqnGmG+a9U/HaLArVxrdN7l796kam+/YXJByN25wLFiq
voAGmLGFzlN8Coa+7fbWCJkrVHD3MLk5i3HKy8Y8Con8KIchbG3cebWIrZ4iRNZdf04TW9WH3PM7
RnYWBBFaAvCCehTHejKbfAO+njgqN6EOnYeB36kv63pr11howixyFxIqJVp99qntlVIZiokBTFCx
FZFVXYA8L8e+sNfqBqPywTXb7Oi7JQse1nTiAVm8cxwtr/zwq0W9rV12x0+wVbHtHdt4NHvdX/D7
6u+klM+n3LIVpSoXfuja0RLWFuqVfBpMSgxDVNetOdfnKoiLZAM4tYrCqqiyd1UVOjmy6YrvwBnw
K+R5DTM9B5d53wfqlwafZPO64BjWRXYx1niUDT6MKtSL617HDH3Bq86GiUYftO0ksmXn+ItwUHr0
Xo5lYqAgwX4LziR1fbH1FseZYTF79bHtgKMNbpkatKYJtrNCpMo96q7lo6GMN1UAAd0dUedyI72n
BJZ5YZlGbbSZUDG0m5JwAAdbcxcx4XbJLVzGLlsjwDxG3hpvBT1b7u2IoE2uW0G4q8a596l8y0MS
P6luLSNVvZN9ov2w8PL0FOTUZVOcVzexxieM/yEKsDJJ81m5a09BhFpBIju3eEiEq75zess+K2IM
jmADyuMAKvlU9nPSkBahJnb+njAPMPOqk0G8CopbP0UL5S3FDUv5RpxsMCDxd9lPuH0GOUKf+s8w
698ZZjGJ/N+FLM8dvIH3fB2w/mm2+scsi+/9Y5ZlfTNRZ7BHJAWVYeiqF/5juCq/uZIwITTxf04u
sq1vDoJ4wVTVRg7prWl7f5V4+t/4whrU/TsL0Gci+2/MVj35j5Msi0hs2E6S6QQDMiZufx6uJhHr
dsSG4sAeVhFogMIR1IhbGbSs0n1v50jcWzPFdFPnZgjZkdmHmc8ehbPDoTi6cjzDK0rDfKBCBoHS
hEn93C8lixLigqTM3W3iIXCXlMAfSdp3JzNL7VXPERspGdslL9bguziHZ+XnoQ9Q8IEeGztT1yx3
Ark5C0lIqxmJBNXGoy3a4PuddmY+ok2p9VfMkCVE0wAZIlBpsC0Cy781uz49x0ied7PIKGdl3+yV
sJOd06l013aZf53ZVhAGyaLDBprGAatp8Jlh8wFpTfOO0DVyDtXcm4+SLucur73mwCcjt8qeiPt0
unG5wkUjtvRi7V4ssoRexPIs3YACfC98i3/oGBfZQfloQDbxMOdjmDgDRF239+/HIoPs39Rwr32n
/jCJQr51cvPsLN5bF5g3S5WyZXOKI9p8orCBN7vzfWKQTOQ6/QU54Q2Vht5Ojuz2tkbi7cXk6QCg
6PaV4RVskgxV43Cfxm6b5JH31DExnQjCGyJzi3KOMOLsmtQWHxeucrYRHQTzl9WtnKgZ3X8XaEgm
ZS+qd2q6GReojt6CbHJBQvv1ZWktDvFFGN5TgT7gSmdzi6PHMG9QoRYYtjob4IDf5eYGKVV+8tQk
j0OL7YeR+/A8oNOCU4t4g9CABYOibVhn9gDGqRIsE1u7I901d4W/4UlrN305yu8j8pnrEpA9ZOXE
Xo9B9JvIbdPPlMXAzuSpPDJ8kiWUxKQ8mJVbvg2u8O4kFsVNgYfqQ9fVj86f5Y8gWOSB0jh/UNRu
F1oJ7wVgYAGtOjHPZdrIc1ZAdGosL9nCojwTwBifB3Mq97qxjWNgjvkhih1xzwVNCwBWv0IZlPNE
uzkYCCvqbxlm5TfF5DApLXKAQWClrPO8aOKGXCuTL52k4g7bYGQt2qTzI+D46aTG1rpQxPUOORP1
8G67/niFmcAhkKrN8EEv3duoovEc0bsfEW3bT63pGwmegGq8s41MvxWUljrMs6VtQkLQ3eY2MHME
sNGoDI2rmpsPAZBBSM5IWks0+tBounwibNjgxxBANl4GxCIvTgVwHJkWH0WTTzLZtTE+InKV7AqS
OAhOux3UlcwERgg823ccF+Ce8lSkt1lC4+KT3HAZu6U7Dwj3Ltz0jOYE7t5HmInWlZN37SpLs6qf
ZiDiO7ObYYAJKxP4rhsgNBPrX3K6pHGtopwIrdEaK4sfWmZ3YrHLm2hY8kurR4gk0VTuusICr+M7
01HKEQh3Z4z1vV+P0Z3POvacKOYpQw2bCkK1b+8R/1IRBl6RnkUWQTmoZu9sJe10bQKNOpi26M6l
WY83CVPWN7emM6ZeW0EgYn6uoYsTjkDx/2RpBZFSLNUhGvECkwupH10kI9vUYbqcFlZ6kKnFuzWP
Kr+N4mK8J69kuscpMna8cLoLa9jxdPYeYUXd0WhMfZTVkJxzWBiEegMK7aTRXCwvUJcU4/1LY3gj
hCuz+hptGvENOlyCRxffeGTJK+6GVrgvVtQYyCpIPr4GaEowcSczRBpQQJrStn8B4PRREYz1i1uZ
1taA8PuSJuBwczbg3Qbg/7KzWVbvM5TlyMzzZG+2yYjiJm5xaWsaZKMV8aMjVbRPEr8j0ckf51OV
l/Y5VulymJXnHvyg8/Fa6WUbWxnsK1J2Xung5b5pRf+AumeFJ5ErWnejfE1HSx1UrJN9h7z5Vnjo
jxE7rPglRHGIPtUb0ULBW+Ardem9IT2wS6EXW1gc5JnX7dSgbQYNhhQnKjVytHGSOqFb5MlVTs15
xQimQWzu65OzWOpSo4UOszz9CSzFZwLfXtWJ5oznVgML91bbSzPBtJMPcYMKTk3zCXJx/NRkxfBV
tiboLW1Ph06vlDLZi8baefNCp2iS25VA7x/HvTHbXoxazK7PtTS6cHGgv+setWHhE17KXBn8F9Hi
ZOG6G8d+1bA6XEbyN1Y1HFWMkEym8Q1jKX3kqN5ZM828ynBGBLViAqLxklkToYI7rTvIEZbp2sVV
bnctMiW/U2SN9iVAkqQHLthlxSnps/V3seJypyc1IizVb6zTOJn7SjahP9oQChcTDbxul5k+QSw7
0YzuvgzU8GAbUFl3Pduc42TVaOdBPFHNT8FmzB7kwoCiUH17YRBTf9SwpHAlke3DMkhdTTV/npJn
nqEWfMhlqp0bgnRtBE0RU7K2nK+tURw6e1mOYBIXzE6ieKU7/aRq5/82ek8m2R5HhcXOL40jHAZG
JHHYuBXRC5ZTgTA07AcoZv2Vk1XmI5ZRCD7aAPyRSIjQG6gsIGfdxHS2bBasvSLqIll5e7+mSHtX
lmDJw/vRnJF49kebtDCumb76VB34S1/U6BBFvbBndzEKJuVl3TZvioLheDyo6JEPQPE3RaQLqVv7
774gk8lpm+TWiqEP8T+0mbtPqGPMpbqAcjHPKL/U6ziYZCFAADFD0xjgZ40C8pHwOkZ2AS7KX8qw
bRI8jIDxRe40bMs0wvnYH9Od5ZeecwBBnJxKB7wwKj9Iw8nkgNmZpt5kiFx6cImCsnqgvkjLmyIm
6XtrqAJ6BsdAmJzMlpDerWiabLwLpklfkb9b4A6x0y/FiQONxPHGsJgaRs+2lz7b9KG7jHI39HPL
emrlUOwngRWB/y7to4qSdG9nAjx4lRJoDGo9bHyRHk2Vil0vWbkwjbtbA7TKmlziSbcnXU3Vtifh
b+ObE00xpQUNfB6HeCOmzzGdpl9jLT7p//SbLIZ3rx5MJmZOXN0FRrxSJnuYgTJNw7Kyx7O0dUGx
CpdxcYQmqoYxoWwBKI0F11Nr9vaV3fhPYhkBJwqCRQThWtsIGM42aYHnF3UbY552y33S9ul1Vpbj
XWdFxiEiboDgX9UdRtfykH+WHlO/OfpklYMrSWMULZPF5mPo1VPqVnCDbT++mCiboLMN3d4AGgdZ
qvAeY7nuEkquzjATS7Z1na6o2cAG8dVsyGHfSoYMepLNh8WSeYfpM7qolPmMOVYy1BxRG3CR7m1P
ZltoFBGhVA2Q8Kiw+zQc/RLaJYN5d7cUdrNzSbqrQpGOcpdEZrLPOhnFVFcjfsSgcq6lr4edpSfn
qCbw31EXJDv89e5Njxzt6M5ODgxutAjmiatNzRaBKIdhPKVFVF3kWDD46D02mSuWMH11U90dmzFH
fA24dDsJJgNOWsoNjADnhYuOjtvTPt1B6omdQ/LQVWop/ygjyGI9vOdffpn7N17rFs9DXqoDW0Zz
hyARemuOiz9oZmdPQrN5KoeaTJI8Crhq5hKF1rqEZfo9nVuzu2casqdONc+5BNvsF/q7EVVb3L/J
7TAbP8oBO7wdV+6zXeKh9HwNt6Kiaak92Ya1MKerGlvQTkclC8bJgajer9sWmnjCDnkwmKiprhgf
zJyNguksLlb5LuI3YB2jGTFc/V1n+a9EqP9kOv3HPm016/0dpdnw/SUbTTLW2POxI1vRbAakaJbE
froXblZtMwgPz8D8pyffsoLX2R/qO5Es8bU/i+ZHBBmXXSUFPgQ8ER+Sfq6fJjtY9qZLlhIJh+yJ
dGBcyOUUCS9tCuXJ4RPAHORQShAGkL46XmAYFDUlpCvRlQeWAs6O+TXxTqnxM/aqeGsbZAkZGfkY
CO5e+qa1ELbVLtGygfUq+l4CfcUbBwsDNeW61ixz1711ihwIpWtrd6twRpx0IuUblXp8cFdCFAP7
92pwL33XP0L+BSuWlzkaTjFv3SWZ74e+JEcqX84oaIkxyAFXsL8lGYquNMGfVUx64diOtfspuoYR
lAG7m8tdURTuBsOqvi9CFXB+Up8EE514wzmScj4lbO5tVgHCu6+qdrhrYYCvQRNWdDMnufhCkJl+
1tEy4A8w0Lwzpn6olhyfLqY18kg9Qt2refCuna43jq7ICbHNlqqBEdanC1wkc/oa2um1TZaGJaab
7h2tCuS7TbEHmPQ/7J3HkuTMmWVfZV4ANCh3AMsJrSNSiw0ss6oSWgsH8PR9kOzuXwz5T3PT1ove
0GhGVmZkBML9E/eey8afpcHCItzr7CtB7kxFrrpDFChrqq7omzWMpOg6JTk3NLPfg0//eovAz6PM
hSlyzxfd2w/eoPZmYfd7GPCY2FHGfqHRpBTMlBogWyiB2oF6gbS4Cq7e0iUuBh4fdXb/XXKn3+W3
OVfi3MIU5XFJghxvpLnR6eUJG1Wg5qy5kre+i3p3ru+N70pfh2fP+UD9rzS3PXlzT5DM3UE69wld
2pv2og5IN2xi0j7LwmsIhqLBqL97DUllxmE0tyDWdzfSzY0JszR1y767FeD9A6PFkMtaKnMJ7Myb
sY2Vtg5CjODed8vjfrc/hlPn5a6tnGHp1tI4DLXAD2GXgGfqhAeXoE/CYMFtf7BhQOGNe4estb69
2fiqt6M7IuFw535rqqaHsrblKtXKe82Mol2p8YZZOFjvSQO2yQGjUoYGiNKnoBQ+OARxHPuQJs2u
feSVXdxBJHUpwxYunwMcRN14MSshlh1Ku5vnKue54jMYQTbTMpKniJj6u49EAZCcw6RlUkCTSVJZ
vFTfnaf87kK9uSEtiUHfVnOT2s3tamfI4FTRwZZzKxvNTW02t7e8yLnRpeWt5+aXxKB+VhqxvZtb
Y6EF7ltuV28DS5pPOTfQ3dxKT3NTnc/tNVAZOm2iUsZdOLff3tyIj989eTq359ncqCONNY+k1jgv
w9zGt98dfT039/nc5k9zwx9zSGd+y//aV2mGfWGeDCTzkKCbxwViHhyYbeet/vpE/cba/15VaNgm
EApCyhm/oe7/Nnn97kBtPEQ/EIO07di69iFnetuavgvMDKKZOac0ofwSN92eBQeGF5GtCMJ325uO
8da4IUztGqX2z7Hv1IFYTDJhXANTBtO8VwqD4tlyy1MX5c260wmhonhS9zUBcIRpaGXCZxpb+Gmd
MdnBCmpoBdqYNbQMNOfQuEEOlXrkVVme2VNZ+VP+QTwj2DTSF0CNTvNBlnyfafH3+TZ9n3X297kX
zkegNx+Gf/2GGahD/yDD/PsNRDFtzmMuXOl/vIE8cshGexiJX144D9Or9Vp9aK/Vvbo0d8Q05Vct
vfz1b7T/5LOz+Y2GjvPcwAfPUen86TcqBiwMxyN/i8TG/0yLJmpJUI3HSzJEk7mkki6P9Vi1cmkE
SfhpiIkcVNALX5MhBmCGY+Rv8lihvjMdKur15Fvc4SbBWPqW5FDtpYEw9IjdkKtO5uTbLhPbcfET
JWMNTbSoTlZWg5rFDbCnkuF8YpyykI573w0TInPKT4YNWbwh9aLajLjSjm4hpndEYODOMcXs+0q4
W5jo2lMWqfqEFCq5Y8sVHE1ggVDFKYgfQk9OH7aK4gQlxUAy3xDVz3ZgzedXZqb/zfrU/4lohn+f
uPP4/PNp/SEEDvzPZvX8y3+f1Tt/8/BzInj4sxDatf7GpNxGqW79UQdtir+ZLr4gcsmQIjhAQX6b
1ZPGwHcFiTQZDbqQ8l+i1zjIpv/4DcS6CtUBpTY/Dr7Ody7X744sPdNxpGnjtCVXhrE1/K4i52wC
EwmfUHQQT4UvX/ia6umqqWXEt6FJ3H4ZjHVgrBBcAHXxy6p/ULrySFEWrdi0qZad3aGb95the1+g
JWExVhDJhL4J9cFIZkpInOCRF5TBVUYvojxkjnD/XDWcZKHXR4B6eXQViJg8mlbCqOh3YwfRquM0
5joOi/TezlsxItkaySgjpsnCi1PpubctHFqmBeGdiNVQpbBwJovY3eleLmBB935833ei2lW0RQlB
i/krfIjBW3ZExfzkj+Mb62KOYOVtdY9OI7EImhrIioXKDH+rROnA1FYSqZsi6XojbNmjorUqp9hE
k7KLVTP40SVqcYXiNGVOvwqcctIPVGozu1ANjAHY1/nODuKmpe/siX5w7dd2xBkrlRyWpANr70hP
PY/Z+hidCp+1aMV04dSYCJzJSi+c6DiYqOxWbjq2DHAsBydXUteQ8Yred0klKLq31EwU4QVdW/wy
8bB/hbajaUtK5/IEC388D6onOqAVHqkUHYlDDJHLIdkZmqlIZtf6u9iqsx9WFmox07AwSNdjpbTX
hoBFEFpYroqtjaXyppmCiYtpQ69cTA3zvCVDzfSxsNKeegMnZQ3yU5YFq3XX+JKl7s2rBCN9m5yW
GKhOqzxCM2iqtlFUR4wQShYDCwKLoRp2PsZVA4PwxigRopp1Mwv0tPIW9kywrLaAzxe7+qUi/khb
xFOcqVUqhLtORFZ+6E07YAqKrW7Jat9cckwnB61uzTUswBKRXYkoLaKrWUxjPm5buyo2hTDGDTz0
4cUhFOmsB7m3YwjUPA9lEZGFGLM9siZillzddV8pM6YHoxiGWx4gcbRbRCSJ4alrbHDqp4nA1FlW
ybkzMAx1/CzWYSRU+wZ6pqYhKARjmD7LJ821mmoTN200nTUGYrPC1j9AJy12ZhZ6m9wi3kroYfZc
G+j/Ctd6IlkCTakEajkz56v+SCXBk8/GakSWhmrK6zE0Ay4tl6rTXXyVUXOs/FpfQXtm4hzkBJB3
3XCw2nxWz039stIlG18JnxMmpM37n5h+cDOEMd1ZZu+uxpzpF8+6tSVhyClXIcXbl6vs9q7zSxNQ
uTAeyMmanhHZyh0ovpEhU1w5Pc1DmT+ndBQveL3K56Rouy+23PGzY4g9sMZuZyf87Finq1w20ERv
IxCFt8rMmrs8s40P5flENVem4z2YQKaXeYgJdxlntDigOEfwf0NsEadkjYyG2T5+qCluxwVoV/vJ
NCtmBj00xFpBMR2C2Lli65DvMSX9OsyEj91VNswjXQeNahmR84sO4afT+Myriko34bRqYrzGTo6u
DEpo+WVGlfE8PwiP1uRMX6GjVLlylZ4+kSbm3I3ZMAvtyD8dwjarl2wyFH8nS/dVCpnnzSJ+Ttt2
BDuLlZem/gU8SHcYOSPufdY2v7IwGdhN9sP4kpDbRcoaR/POgmgB+dryrS+ojOhqGs+aM6YTUz52
Xo7SuaMLXE6pCKgNg/xDYq37ZdLMljAUy/SmR7I3WQ/kgPwNdzjRt7do/qZo2gxlS4yDLunRI39A
zUtbxkYM3QIF0YY+ALEHMPb6wDS3Kld1SssDgbWbdinq44pZbNjN1WqqCErgS1JKQf6C25rNfWCm
1TYqhrBY9FHXPEDKnOPHCXGnmZNHS6b+fZDa9hszs+SQ65P/rqnmQS+zAcd0B4wfhGp859UyyeCg
J9EC9Tvh4L4VdHuqVtJoDbjSewO5+kkmbntOK1z+C8aN4TURg3chqJcOLJ60jjcitac7JZtA7Uxs
9Q9IaNLHsA8Im4g1te77wDmyatXvGKepQ0QhiemQvVSUdBlqLKC96yQZvGuWj+OuLwYBxL3WcGt0
sHUXqa4iDSlhK3HARlUkltgGqjNfBfNJhk1xF1QxxVrbywPSvuxjIC3xA1Eh8Qqo/qBwWlb902hb
YDFFZD72RuSuJzt31pgd3VNQ1+WPwA/UB0QcBhAgKFt3mWhssxZTr+qdHGGZs5uZDb5G/gUzs06Y
VDvuDgUe2iq6uHFlikbsWXEVp1gl1qao5nd0tIBLO0oUmxbD4T6k6r/THFvDGaC7WbkBSMp965Ye
2z/U7smiMkRGZIXqFfvclAFBmJk+uNQRI3oPH+VqJB1tdOHaBFMjeGO/FtkxQ4lovKuzMeZmr5v6
Li+cjOAX+nTUijHu9IQh6QnBV8Xl1cvk0jRDsHHCrDiEoknB9TAN/ukgbGwWGi2hvvQtKzp6YlTe
xjR7/Uk6afTMnY1VuY5KzI+OV/T0mJo4pqmLy5S0KyIucW/SwSM2daESEK5jdtoxjfxJ30d9kz8C
ObawwsNcPU6VptvHMB+tl6LUSSJAFLmPGinLhWhy7F9znd4Wjnk/6K55sL0wIb9JB6zrBuliKiZ1
m/KGN8Tj0F1oTtu+CCIXv0K3n150VcttirVi30wuWp6JaD7Pr+yTU0MLZlvdyJfWrEMy4ZRFOSQC
G8woPgimwRB1L6lfJS8FprkzBVtlb30mLkglGy89eWPnvnkTJpQhkq9k7ZXbUSYDgcA2j3NgTyuv
Lu1HDZPnPkSXCV0BcQQLWSSQT+y/yAgpUy/asqFI3/JAV88mR2e5iM26BFptADRuJ1KHgF8PO3NI
w4OMim4PZdadhzly6/vaJgIfUJHwGUeMMVT/PppYqAFA2XKJljV5c8fZMY6MzN3Vvu5eLNS8Jmty
vf/liwacMFFINYXRWi8juKVWM9Ng3B2AiWTR0f8fjdZ9tEe/3iqvfzCcvnyp7bTe9nbdkvvRu5xY
cS/07aA1kAiKNEgfIh6Tl2rQhwVxY9MOc06frQ3LiEAQef1wQLJPOEbRgV5Zo7y0X72mHT9Lh70D
+QMReymVepzqcQbSCJ9F6YcgWSh09CBl2svHPIEo7kTDsV2mb1ElFW+ih8xyNLk+t/6stJ7CLrnF
3/Jrb1ZiF6Om3STibNhEzi2Y9drRt3QbrIS172zVrYxvaXc5q7zLWe/dzsrveNaAx0VQbwJS55cp
AYWPyt77vOWbCQhViaX33GQ6QxFd2WsyDFmTeDo9dx5m+8zQkVujSbw1bluuNGlcnCwyLpJSeVHV
urrzZ8l6MovXESOgY28N7tiF+ta3O5VyVv0seu9m+bvB+uUUVBk7EK2ZRfIZpqFzPVEsLmramWfx
LaifvsX15phr0K8pEJG319JdWbMSv+Ks4wYbxX3psLlazc59ggeqPO0XvuZ6Gl5idP1sgL2Lwk5y
C5xZ9o/RAWZ8Pw7TgeVD9dpIQz65qRxP5FlgG7DzXj43shB3HHZsbTJSX9/4Ausba1SE/rIUw3ww
2xCc2ZBQJgKbCK/TXDFrcQ8mf/iXJ3voM6EKHKbb1Jv7XGUYHdJv0wOqmQbw7+yFsJrZFpGlpZVz
ao6GtuoaNu+LAI0/YjvWN9jAggDcZtcQxoR2QJioF23tg7Ce5iEP/MlattTsqxI54HVy0u6tcCQh
3RXh7ufOdViYu7JdNrFGiTPavX51G5m+NUwxWsxjcZxdmzzUSVCvqlSsRGjjpIBR7eNm6QcIEDq5
J9ZuKNlz8o3wcDP0pvfiQ0MjgsnxUesk6G6ZuTFuB22e2hqYknzU8V9MxkvTMO3etlJ3j97IxJeV
UxA9FZqbjXjna9BZbEztr6Zmo7YtmTCPG19vARegxwnaFTvDJry2lk3LkaYkFjC0NCYuPbDp3FXj
Pd8ZAhiAX4POCSdqDU7/Yxv2u7rL8uMAkfWFY0ncy4LrIIp975j3Y/swEPbKDD+dXtQUOBomm2ho
OH5jZjyhnqK2qOQk/1fQ+Ou/KGhkciCsv/SKP/5KP/LgI//4k5zxP/7lf8oZLdOUM6SRn/fNmPxN
zgh4y0HniC/cwJn7m1nc8OACM0jDLI5oi2brtyGJIYBzYeid4RwgepiS/CuCRn7in4ckQliGpEgy
bG+m/c5Dxd8NSaKExsmKyZVhDXgvQRrtsnagm2S4sPG0TP0C5Me1DvZyh9WRxPQhhVseSlh/EyMC
jzgIfd3LWamRGkrcNVIxG5n8fA/1B0lFmgwX9iryzHIXQrXvUYIh1/9Zm36xmdIhZt1Mdf7ZRL7e
nGMdF/Oinm90KYzwuSUx4lyRJl6vOmTTPmoQvpcO48Q9pglMEkMgvHQXxzpurACfbNfZtCUiVz/8
aKrXI4ZeN1H9q8TkshRFaU5opGQ0cZo69o6DOcJwM5XJMqttBIFNQZJvhgBqmXOtTQszHUgKIGVM
y5e5F2BnGmzUE7FNx74KNY+tr+9G+XZgBvWEDQdbhE5O5QLdebsvvdh/1NtoQKelJ8m44KoklhvD
KV4rbUAMgkcyurZp2j8DmYySdVJH+nHQcUD0arwYo9HvIqNRPwod3w91KMOMJm2aK2schAkoaQgq
SQ3x7OvKOrWWpT2GiaO/akVOGqa0nH4/Vr2660GzrGsrCH66I5OmZUBeJS8cvxiQQIxJIc7Hwq13
BfLFk55G4Pj5mPNP2ZViDzzYrmltdJMX6XoIdtCzbxPoz1czI22eWLRxXDHGoRp0NcIbAyHRGkl4
NIvRQDwUop2iiDwUWN5QD5go7kGCMROONJQwQW+AGpzyU6aJGKshfpOPIKzigxoddeaB6mIATm6p
4a0hDpsSxIHD4636oSkw9hk9dxjtuKNl0XPJznk1DRo5Hfgu7jXNgavoDtWVzWmwLYC8MCFS1hXv
or5O3TjYsaDWj3yioO21BsnrlOjv1TRNh9AmxaegSTqPMQ9qXSjns03yYaNbQ7NPCjzEWe4+VpXC
mU7YPUre8EbnxECNsvMJbxp5PJ1rf0RGNx7ZMRI0btUEj7IJZ6DVvGCreMtwZSwMZ6Byqvpn0PvA
QnOG3vYapF/0kBHYVQ/xraSe6kJxIDogcCYmbzk3SDfM2pkO8Y3ImXotddNEZosYI3rke+CcGyOT
98jhZM7KZIgPaUg0Z+PolJNtXCSrwjIsd8v/ifCWcrAyUmDqdHww8SrtEp6pi87bh68VuT/Xlhch
frDwTGeFtJ/z2LUvInOtnYFnizSBrPAZchH5pveQZWuF6wOhk9986ikKNb6Urvfo5Ea5jFuqvkUg
8fGCIpPjDQJPeGdXCfGbqBSMhTmhASmHKoD43wbR/eC6IyOekeQJhN/9WxnF5SWKbHUY9VxcEhK7
atrKfuInAQYD5GrceyaLMHeqLIKtStE/ut5gPnWZo3YS0uWnl0bZ40gsWY1wKLY/eb6jL3bYlkW4
m4FyJx/N8MOAKJVCg3J7hsCs16+xjXd91DNTgHHKrGqTFHG1VUHV5lhO/XBbdkl+BQtlPfaZGRz8
WpgPSdZYJzDq6D14U+QNQbcB0VUi70I3GdjbDhDfdVKxcdfXgdzGirSvNiyzHzGPMJ+qb5nPTdG0
J+iF1to3pmrnIiwiUCl1L3meTeEirUdac8fy9aP0S2PnVSo4CqOPibBPEvDXgqkf2i70RxqrYLIa
ZaqBPTWci5O02Z1bB/q9bQ7MgVh6WiGRMcp5CtJMt5ZdOdY/FE0e9hC9WTo6+99lLSpma+4hJpyP
73xcVO0Cg1m99rUiIRteIUcFThYeLLR9jL/zC7gpJI8Ghu9Vac3JE15r7AbXyO5kzB5d8MVdN2ie
tjX/sTDUlD80vYUvs4lAEEbelTSX4JwMGQYvy4vO2KKSjWEW06Gq2/4YyMzcOaAJPpOJeWTfg0SM
c7/dMv1yjo0/8hli1z/5XsXSiH3ykrMoPzLiiKdlITq1drLs02jSgpAxjdGrnROBiq1Eut1LLOks
+eqHewN3S1iZKMKAA/+0CxzZTemsZaONyxDl6rIviIdFQ3SINLvaik7YewiWVzpSh6Q2qd0ZcCB3
I7AJUh/8wyywAEguBx01rja+4iZnSuHDSr4zfRYrqyDQ0CrCqZ3y9BGt5LDJRO9u8Ea+pjojobTE
xifr6DPWepUeTFaRTJO8LlmpwFYekMdp2LS+3d8bZHqdh14jfCQp20tNlIzjivduKHc2ppxF3tBw
NkPTLbMRsJRbmCcDPqe7KELyahayputfKORPq8Lp4qNp5S4Kt3IaQdYKP91Goc5/7Qo720K2OtQE
1sdLXzCYXk2hjojQcNsxW0SFKnd9nX5kY5odZCq7NwsBmbf0wzE6x2Pbowkz8CnlllbdVy2d7lQp
l6W7TV/g9EN3zBhfZxvoXcGqGZkIT51m/craoI/WXPHQDe2yDSlmtCBdlqqL8FiWDfdAZDbFQIcK
BIQRYix/5BAjr+w51TVKQiZ6OSg+BwfCwvO6ke7dPBeFe+XPYmgYiDF+tBqd1Gjfa0HpGew6nn0/
/OnxuL9NQq4oe84ixA8AeG02evnVPZKtaEFuSmYRT0q5n1vgKNhJmXcxOR5vWlDp64CR+YFdBM0B
RTxGANWC1fJqAgncRHw2bFbeA37xIjDYyLoeTpAs0xyWMmX9VDi4oAKZrmE3wkSus+5Wxn7wPO8H
thm2zC+2xCmiSbvcMD4nNNBNsbHu0jaodyoHVrzooUfiachJncNPmt+4A9S2S5P+4gqCrU0Ksudo
YrMwNNpwqEwyzKyqArqYiZYLyRGnCfowUhIzAlTIDHMhvHb6YVZC39EONStLTP6myYAJQxITW8Qs
W8SiT4xqaFlEtHKEqpalVa/MRqwcnfbNRf+BdT5D4KbqX5ZNmIIoeBSTQa5NHVgqB/EqaxV0VKmt
pDneaSgKD0XBXCApRwEM2y8+4NeVy8ampBBNVkdrN9c3ZRvh5pxMKEg1xns54aIgTUttsrLxz8Bl
GN1g4NmUaIRp/Gs0DJZ5CfruaJrjl2E0jDABQ+sDphIpfnaE5CJlG5lBUmpdPAgom5xkhWM7BeFW
m4qF3jDxnKme/WPr1+3TaJMON0RDv1EGy5sARIODHYaEZRmv/J6MN4DO1johXY7Ot/Q2zBqHcGlZ
wxv/qD9FmTN9Ejg+rH2M7xsbzuhJLxNrlsPMqFXZ5cmSiAUH+CB5vgKN4S6P7JD8Rse5K3vucr8r
iZup/ORqCie9EBfk3+F4cpmf5MkJ2U0CE4AJwY1vKFqkEpH3iT4ku8sDU/ya9AGUTOvnV2swjYvo
THno6lT88kLfO8vOI+tNhdGDBQ8R/by0FfzCPHrTjKw9c2ym+2pK1Aqlyg8kK97OyeN0Fdhxd2lt
w32z7ZaQJ3aG7Gm56KmLrBhXzlhlVP6RFe2LLGgIrBDlyOnRRgsofDlpzEW382pH7gmrHe8hKjYT
C8PuUESOv8oR9B7wII3PCjPEdYDJW0jHv+lkmLwp3a12lkN+4ZhYW4xBpO8FcbVxImmss5rI8zE0
ikvtECa4KP0AVrmFMhux5qrzJJajLBEvsGtw2kcuabMdBx71Y/Ea5pF4Z7eRHFCP8wDXjX1yjbZ0
UKN0zOmbKAjvWB3AwegkYVXlNPzwWfQsZcS957smv3lsZmkr9/gApvVYONWTbPvgxdV8qkwi3FYd
BRE6WjKTky28wXJvZOnH0ANB4kZFEW1R8q500TWLRNdWOpZUNoI+NopS/Ygi1T0mCOMPca1GHuu+
31vCMJBfdenabBJ9NWSJv1Mkd3n6vPKo0njvpD+RYIMIckvYCwU/ihJWR9GW1j9GLRyPaS8DVoWg
VzemwhXnZ0pfuwVdXz4p3j5b2VdNuON2CpP6pjqmU6Esyk+dB+ZCGly/j00s/xCSnQWtD+VE5aFf
d8b2nLFCWA5BND74ftRQL8TpB+vIiT+lTNdZPoU/aMZM4DK1sYp9su17r62e8F6re5yojHbxchhv
uVNo75njdRt4yeVODKBsCChMSw88UUbT07rGrXbxq/qEvjVuQi5b73nJxiUGhjW2KuREJ9dHy7Lh
8xJAbl/HfFA8WUpuizmNLfe7s8UwUYKQdAoAKbKDddFH7pdHwd+33mnIPX5+2S6HPmdQjVyK8lQ/
JLImqMvJflVq2KnAe3RnrIk0+ugWcSWCkczHXeM6wWa0a9Ij0efsE/7KN+z3/QdUV4Rlji+fkax6
pwKzwA+NmmnGRuaksqLgQxoU2GvcCc7ZmtLyBFkre3Ncv6M2EmJf6JS0naXhovYIhFwbeIQx1Uxi
qFE5aMOpynOOeGib3hZ3IJhQhReLUr9wN34du1iTRvCgfsMyZUx9592TmkTcrrvJc0mJtC690btg
BUxfKwSX2xGW4k6a1vAhGddydySEt6fdPIqDKXoXaBrgVjENd1rTqGZBzGy/xH9hrn10yvuJScW9
l3n1RzD60RanePlKQHDEEd9Ye2e0s7VMVH1mTad3LDtKue6QLuAHr4q7VrDEmlWh9S99CvpHLZfK
WTS93ZwlYvS16kbSdJPRdN/Sxpp9LuZXlOTewQ5DHxvHGFk3NIk6OnkreubgYA6nN124KjXRnQdn
Mg+1bwIAGMfstUNj+4OInfSW83VfhG1aXPy6F5cURzJLlNk9UoRMXGFSm80twfx5pbiOy1l0Pe7q
2OSoqbhE7wMAkx6BnSKFe5y528SY6oe4pIaFLsMCMYNauPLoYk4mgslllZK4KXVE2IXlOMuxSYJn
O3ajLQt4y4XL28d7lUuTVQ/+zIzy7ACRR732kwXznCr0rjMVt8kUW88ZNK+D1xvxZ+B03EW+mi5i
EvgSklIPTijNjHPe9PDXDVKGRJyKvV728KNQgJoQPWIpPnpbCyHBJJb+gXU0qRgeTMMLOzSHWUvs
NQweWluv1oFXdCS2NsbaKly63crXpg20G6gPuMzewsEvn3unQrJf2jQGLnrI0TWLK5IjlxVZ4jAo
B2BjdL1Y4cfPyBQfKbHiGY69cOKof8U8JldCj8OrD2VuW2PsIKxOJfJtwr1A0cDqpy3d9Kglgqoz
ip1ioXV2tXYqP77FJD/x0bofGOY4wfDDTgytNvpID87fYSzNCvoAM2bp4/NaYB5ImpldZF2NjE+J
XFZjVWtp9mSlOqlCbAX7Na4Q+QnNKcSjFVMueYkk7B4vWwZuyiiJnYjY5PFXU96SLvsQ+XF6jmzU
yABI86UYbNKSvjVf/23BDP8D1W+OPedRQccx7TkgTRC/9lc6uNXHP8oo+j//l9Cif5ry9g9/xd+n
wQ4BRuhBcQHagnRPXsZ/mtvnwDdDAGK0HIRz30zR/wA1gg7F2M7mBzadaWNj+k0yR4KRbUt+Hn/O
/CPdf2UabFh/ngbPAEnEDmwDgatwdc1s0d9Ng3m0mcgBjcDn+tSNxdl7NDbBBn0yGOeI0nyOMtvo
zb31lLNP7ZZT/NRUEQEoL/7QriK+OG5vY3jP3j0ftF64CzPsyNoG08y2p9HwG2KS3c9xACRRBqBT
opdOvaNUWGsjRi19epiHTMocrxaQHks7lO5XDT1whyO7pxT/CQsdlNhpRGiWq3NRd0tffjFZIciT
uhVxgCHhJOLl8+AU91m+GmETpuG4zSTRDnLocL7FG6FtdRnXm9hoAzah6WUgzdajz83Vp+7lT02r
32VzkmgUOC7LGuI7G6Rxdv6jTa/S7YGAw8TBZ4FcKgB0xQ4YnrZyzBs0socgBZJn1ZwG5m5eRgPf
T6HTnKzBiJdNWV6bDt1CFTDTJhFPxvoNLy6U8jjGqFL8EsimGD/bbzrHCh/TuicnGJTIIvbVxm4S
7v5xWbfDKpY1+aLN2YraWyuti+FbPxJH3oaC18r6kHBew3wekEMVnJ4Ma9eBzT6K4R3KBulkC4mD
CkRfdAuykguSTmRhu9GlImQnHs6/+9r8A0uO8f8Iov+eA6frjkHcoYOE/I/PFsCDBiAjcvFhyp6Y
B4Eet5vb0IsdQcFrYeqM7xx5YNSyTcsrQvatMOwjhMJuBT8ZLnwzj+J8bz/nbSeazvJdbeoYVlXn
WzerLzbDIB4sW+C4iJtVhW6iyo96Z2/rMj8ifDPY3IPsw7Q+3QkmU2BOoO1Tj/ARAsb7smtxL5I3
yusN6+1lVGebIE42ZIIua2KRKmWtirg5MQNfkTayCmpth/jxVot601v2bdS9k+Q2GsDveAPe3LB9
jAFi80huJ+oG410KcgGn7sCm7qIXSDi1IuA6coYQFjtpACOxUj35ePnZqTAiEpLBkPUza8ddmurE
jKJo7DSCpJJuOk0D4buu/zGWYlPk6OT5gaDpCYSFmo0/034xzYBwkUezrs81bJvGUI/58D7FYjiW
5sgSA6DLW+VbOJxCGEqxtQ5LY8tEFCKOtDfoi3YVch06PhBq2XgNRpARRMai6Wqt7lipChnU9P7X
j4k5i9R/7zOYnxL4hxYCQzDK3rex63cn0FRQK+IR9teySH4FWvfi8/b5tfFe1SG5VjVGmfqe9vUy
df01aOp9rIZ5ILwwGLxs8KtgBPfiFZM5UkO8a2hmnF3tfeN6LGxaNAlh/1WK/P/zdDN9+9PrJi8H
KIjOAc4FY2An/+PT3dAeldRG/rpyagcRiQWGgBeMrG/oKPHokSHLhajbORdLbJgaTllURt0H6WjI
B7dVmI5c9mRD1xVIkdJxeGYJ3S5wgzJyMxempFuP+gcO1q2VDrco7h5KzXiaIEeQ8fgT9OZDZjfo
xtyWYrJuF1i8+MWyLdZM0Tkae/NL75DaBG2rIdXHTx9P0B/TUt2HfX9Dp3gsJbVtJHOCn/yYZYX3
DsvfWGD9eJRGeu1Rl+FsKb/AJoVrYZWPqtW+vNBKl24kv7DVPDQyfgXdv637BmeW8VWmSGwYGng5
ryCo9jTCiwngahuKZ1THW3zw3sKpPxVRCyPW7iJT68bAHamWeh8uI/rrvAQyhpXPRrnH2OmMcfLW
tNwepY42xCVowoAJF3bMapmxIGjkHLdfp6R6CqLh2mG3XfUdbnKt3REPvKwCfSeq/EGEaqejZSEi
54evlw8pIP7OhIuIn6+OxUrG7i3I9X1Rqpuycf2m7kNmmOh2M7nCprL2AKJEoAGDUN/w0Z90g5zJ
XnHLRC9YgHe9A2vBgVyH0rY4tf60bkYU5CiEU4cpd/MaTw9zMCmz8lXYHb0y2TO1fiFpCwOVQ0pG
7MP0xNTpJtM6RJGNm7n9SkK64FbeiKFY/Rtz57acOJKE4VdxzMVeLQ6dhXZjJmIx2PjYGDNtem8I
GRghdAIdQNLT7ydh9SAb3L0tLswlgqxSqlRZmfnnn5C/fVt7NDaDHM7vS5IrXOQyVc9LTY+fl57+
GJB06rRo/OkDmgVKuoESYTlduwqEBPgzbQ8kjfGsRHDot4IZXTQvoV2GESSY3Pm8hjRmCQbx2ulD
rXe5DFZPuLhDx1reKlK27VKw11kT/6KkVuT/cZdD+yWFad2JFflYpvFS2vblNO17CZ3vHN8G1Bhz
5F34YytS79JQ/urSB6ejamM1X49SL4l7rOrr9UT/K5fk2wlU5r1thMPkitZtBp8bmChyjaHVdnuq
kt9R9tSBRfILNZDhlR4KphLlxC624TCQM9NZk9eEnmEsuDJNoqgyuqCr/CBU4j83eftmQ3tuyIDt
Xsu5dqCAgAvIB/6TXkiL5QiKt3EiJbdCmr54KcD+lg9bhiv3W1sAcoIw8DSrC+PEV+KQnXZIGybF
GGpJ695yvuHugAtMLgxoEqON/ShDfJqx2hWAtbkN3SsaS1MDREcRt7OvgpgCTnE9nLReNg4hglz4
b2rRIlZKL8XEmC6J/xP3oyxBVYcTY+7pmAyjp7QewvbDihic/MVPhkSUByGNOhIZFIs83GRwOy/b
f3ppBGQbtBcV574GhgimDWk5d+wMygCA5NFYN0ZbFZKyVKFpPfGJRVeUviXWk25RTNwO6VP+CN4Z
CjEa7SUSy6VFkn5Iec+qs8jvBIoJcLQhqs76tqZcw1Wh4nY7JZuxhn34Im6nxJkJb8jjGNpsLeO9
dqRx2xiQ3oSJ7FGwqGJgr3xeTyTngkbVXct+2cIR5CV/pcvgwlsZL6ksu5fGJnpprbS+HVp9YE6z
zRbsS2IsgPMERjejBJ7Y87YLAq8TG0H7ekkuvEPRb9RtW95XO2tZvVTKlFkrlEQy1RB6yHr7chvk
t7A+jxbWWu/mS3FkOK1vQZY9B04+ysm+5pNYhwkltC9kX6Z/ZOy4PXIFPmk0P+lutv40SPKrdq73
Y0qQoPYEKAcnAueq9Ik0kAU2jObvQJQ8qnJjsGIJSXFtOyGnS+Yw1/QXb7O5gdZm3s6SERzWq4v1
UgLSkFndABwvfRY9pzfRixI7OKCXm3jkyjlHO6IbuXIXrIBLC3RHFK+sWLshl90Vg/De2a7YfWGN
WKsPWRZfUXQvdRUwxZewPlJZuSUVBwGLDaF32CJObsQA+ltZ55+LfCK5dEAxeivVGDgkADqcwADr
eWPI00h1BmSCrGgylBfiDbqxe8DIi5Yn9M8NdDoZ6X4CxWALOieq0Z5O5Y828DRfveGuGZu9Ehz0
mMzDbDiPEjeOKrKw4uogsP14FPzajz4WdLYPS2LB+HExA4t2ozVwUXGmrtVslVMq5/uRBNeM7TiZ
0YpQks5lVYJvARK98oPz6wa+9XpZN4r+4ZpSeLDlB9wR4+1p6JgOPr69nTI//k3tBo62TKSEE5f5
Z3TwRsSeDuh8iGeriqp8SAdtLgs0r1WM3UCf6ebx9PGamt29dm4Q9tBEcXfzQn0F0C8CSBlrpE2f
huKzW3GfSAmiQOyGLidN9dA+1zjF421oh1aBrp9D80f5qiru9PDp3gRAe+Lb7iFHtoOjr4JI51BK
hiWFmE/5qS8GXTsvUIi8KJ91MZAUlHZPZpr+y5oH37fp93vicSUY56AshQJVeUwJAol1gna7DzGz
T7Yn8jLvJvXrSpDo+aoSERV01tSeRWhT4atLGsW6///d/8Sm8d2+QtHuzkrLas+jQwb42A8qo/L+
+qtBuZ79/lsRjKr9sGgVtRv7b8P7R22FlEZv72JlBMtxXv/+eoPvh66NVd1V9WXfnodmOKUFenna
eJ3mg+lhn4krL0LzbBCas3m0qNl+VSvKro+jl79bhQ/lR5HpVWIKzUhiEWFpKpaEkxlWYgqxOzPd
VGzfDLO3+GpZLcDQjSXbnjldmO5BTSuCjHVpOsSNSR+gs3+Y3urfZ7cmjFl2TUNsqoVtbTrKrRn6
HE0dsxJVLvedaWgsm3XqvhGsGATsmgq+M51oYc628/mqElZOWzeKoHBT6ffmbJEdfoeQf4LV/mVm
M/1qouVbxHn5BA9zkMyS6WIehllNuCaL2OWmahkk/tJ8qeSUs4ZH6ASzHppLM4rhiqjJJsl1AtlP
tuPYtQ2LwLB6gmc4Mj3bPXswZ8n+rGUop7GkTVVdUl0f2lrk3QG+qfzneRSfdeYUn7jVZIvnKe/O
AU2l35ts5mxYcVhb469HrabSr5Il0uP9eessQ0nG22osO6jNuJALXVFzuVhl0zP9M6jLzx7safBi
hmfXEdU/s6gSXuifk7IonmLV/4fC3OPmScADKrNnTdV1b+dBWD8OIBpuQOMEFnZE9THN6fb18yr8
BG/v4az8u7HIpFffFSe233+rnfD2HMiPjkwPJq8Zj7qSVDzpnQ9aEMo0fgZFQW9SPxmUDq58AjXd
zy3OOGb29ingP8snOEx25+7CrlTwt1oK17ypWo5iK3aaV8TmQ/yw1WvDo/bPNO9sOERpZz5uqdBw
hB/SQDWU/8Mayoby78wZ+qkWS7lJQ5MmSET4JCKdwGmgHqku//oecXg/+hWU0If3e8jf/B6dfe+F
VlHXQ3+ru9jFL6bu3Az/+B8AAAD//w==</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_xlchart.v1.21</cx:f>
      </cx:numDim>
    </cx:data>
  </cx:chartData>
  <cx:chart>
    <cx:plotArea>
      <cx:plotAreaRegion>
        <cx:series layoutId="treemap" uniqueId="{01C6A0CA-3333-4A2A-BD9D-2099B18E1DF5}">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Calibri"/>
                </a:endParaRPr>
              </a:p>
            </cx:txPr>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series layoutId="regionMap" uniqueId="{21CDB597-139F-4F09-81E6-12251A919A18}">
          <cx:tx>
            <cx:txData>
              <cx:f>_xlchart.v5.18</cx:f>
              <cx:v>Sum of Sales</cx:v>
            </cx:txData>
          </cx:tx>
          <cx:dataLabels>
            <cx:visibility seriesName="0" categoryName="0" value="1"/>
          </cx:dataLabels>
          <cx:dataId val="0"/>
          <cx:layoutPr>
            <cx:geography cultureLanguage="en-US" cultureRegion="IN" attribution="Powered by Bing">
              <cx:geoCache provider="{E9337A44-BEBE-4D9F-B70C-5C5E7DAFC167}">
                <cx:binary>1HrZktw4ku2vlOn5UkUABEC0dY3ZgGQsGZH7olS90FKpFEGABLiCIL9+XLX0rdJounvM+prdznxI
KUAQi7sfP348/voa/vLavL0MP4S2seNfXsNP79Q0dX/58cfxVb21L+P7tn4d3Oi+TO9fXfuj+/Kl
fn378fPwstS2+hHHKPnxVb0M01t49x9/hbdVb+7sXl+m2tnb+W1Y797GuZnGvzP23aEfXj63tc3r
cRrq1wn99E7WsMq7H97sVE/rw9q9/fTuT4+8++HHb1/03xb9oYF9TfNnmIvpe8ZFShEl8S8/6N0P
jbPVb8MpDMeCsUTg39e8emlh3j/cxi+bePn8eXgbRzjEL3//Nu1PO4ZP79798OpmO329pgpu7Kd3
R/u5fnn3Qz267NeBzH3d7vHql/P9+OcL/o+/fvMBnPibT/5gg2+v5x8N/TcTXL6ACV5GNQ2ww3+V
IZB4n1Acp4SK7xmCs/coTgXBifj1h/6+9K/2+Cf39H2r/GnyN7a5PPxb2SZ/a1T9+9X8C8Ijfc8S
QkTM2Hetwt8jRBMO8fOrVdjvS/9qlX+4m+/b47dp31giP/9bWeLx5ve7+BeYgb0XmFCG0K9WiL9B
qfg9ZYxQnJJfzUB+X/pXMzxOEyD7zfDy+W1Uvw99b1ffN8c3078xy9dz/huB1+llsC/Ti/lXQlfy
nqM4wUmCvxskAF2QYyDDfN86/9SOvm+ZP0z9xiqn//y3ssqHt3H6Qb7Z6qX5e/75v8zt5H1KE0Rj
zv+c1Pl7wTETyW/2EN/kkn9yM983yZ8mf2OUD/L/a6N8P4r/mOD/9MT/lmnh94BQFDHEvxsl4j1h
hCU8od9NJb8Rov95N983x2/T/rTx/8fs6n9mXn8jojkgUPELg/0D+fr7o78cD0j1N1P/Hv/69a6O
n396hygTfzDX13f8NvHXBPGf9rMaXr7NEP935tvLOP30LgWcY1RwKihGSZqQ9N0PCwTuT++AnXEW
U8KQIGkCDwEPsG6YFCwtAP1YymOEOEo5hNro5l8G8HuGv0YgvI4Bcoq/1Q03rlkrZ/92H7/9/wc7
tzeuttMIb43f/dD9+tjXXfLk6xKICaAhKaMpZbBO9/pyB7XJ16f/DxubyKNZT7thrpbxXs1p+rDx
yHY5dYJdJ1ylYx4h1+9sHNwuiSddNFNF8z9c23f2gTGHXPunncA2eCoEJ5QkjKS/7PQPO4mpZ3W0
Clw4NI5PJl3nvGSiPPqqxQ+zqcU5MCY3ZmVbupB1bj6kjYgKpAM9wEf1LkLG7Z1R7c9UdbG0ql57
2bC6ztuqpDfxtJbHDY84X4WYr5SuVSt1T02R9BG+VeMQybrH9piqdsiiPtqmLFRNWUSDWXJC+VrY
SthMxfPyjHDC8W5i1BY6XcWJzYauUmBvMg3Pr3KZAzoOJQsvLrI4m3Vy1dYkOqRM00Zu40ReYho3
l5Q05SCnvpk3GeL+FNiU1WwNnwiZts/IDPRBgBPs3Ur8xWSW8aZujNNSK1M7WS3u08TT8TgzP1yr
ZEIXsUM4Zyqdd4Dk003FSJknFq9FrMlF47pDqCMt25lVj2siml7qZB2zRCP2jOZSZI7F+FEtItrN
nSFHbUkpN0/wuVdVtINH4n3gJcvdoobDmMTiXEVkOXrguvmwNju7VmveJ/18WqeovprrpCq6pe8K
PvfYZHNvyW7lCy3KKVmLirLpgfZxl4vakZxXvbpv7EKf+ZaWxbCOQ0GGOD50I9ngaP3NZtZVtixa
LqvW6Id5CdGHZen9TtOhPADXiOXgcF30rtMZ2Qb/uW91WrDW2NukTUktSxbNl0vXDhd1RZIcMbwb
w3KZqP6Q2uiU9ortqhCxnY/5NSdarTI2Fcq2uN7j1mIZ0YEW3FixN2Sd5DiyLk/U2hyYinJbbiYb
dVuMbLxp5prJRpW95PNo86Ud6gPxicq7aeivOmOm51pX096Ok8u2qpqy1UbRJ771oUi9Xa9aKnwu
FvCnGtxql8yjKToytl//xT5XwyT2S+iqDxuOsJUR8utllSwW1nToNg4E3cytD9dxF21Z3/mQL1tX
y1bY67ppBqnaedt31TTdNg1l+6ZJtttkKnXRb1GdtYS5zLOtvjFrba8JwlVBcE0LO2t2VD1OMqr6
Kh9sjDPPp+7glq57aiwhYE3eS9sYVVjRfiGLqgq0iPahTPgi+TrwHN7hsln17OCD2M5BheTo6JTu
ra1wQewqnHQtr7I2EqIYqjjNQii7fKhIfRimKC1MtcZhz6mLR2nSge5mQj0HiGAQa6NhedQFTqRt
1/ag54ZcrIqXciaBXddjRO58WLLYjleh27a98I5epi5Z97qxPk88Q5dVqq4FgEyB0+Q6ntusUUvI
qtjOJ49I/bq6QX1pqzBnoplshsRWnle0xNcbJ/1zBah/IHPDLgbvu0u7JNNxs57uIs7Z9QjbzvqZ
lneVTcgL7tL6gumJHqZlnl+HpOnvAJnTY8Pd8DPuZ50hrstMVKxVWVfPs5U0qZg5pgnNAjh/L0s+
z+uebn275KrS7SrHrp93pTLLjo4i7a6sjxebz0OlL+elq3I1RHqnK08y5dLRyrKsVIbswKcc9zFp
snT2ZJKILCz3dflEkqi8TtrabRmmwmHZqQbsLGo80Y8tSufbCDvWSByPw9PYd1tmUFlds2loLyD5
+cuSqHUHmLbux3W2F8vaqo8dst5naTVAXCsfTTIQYXZbt9gqw0gEcladoRc8ScqkIJ14Ww0z1bGz
ti+WebIXaTPS56QW02HTrk2kn8gibcrZ3iY8bFKkovtSO7N2RbkN0xc+pqMs/TY9t0jMh465a6ui
D31YxoONYiQFYlSmtm432TVItHJlYoL435KPDTdMSKYq95y0Q3MUeoUF4oUfy6VOs7Vt7VHhcmny
CJdhzKa+bG6QWjzat+WShCPTqxfnri2ReWMRHec7pNvkvuocCbupi7qXEULhpSyxfXKNii77ilkl
SwcJukADrNaKbXnsdDJEkKTK5Kny/tm0IjqtKQ3lKU7WIWNs2VhGpzrO4posJGNf/b/qBnJnQ9qm
ubZ2zEK9si9oxfQOUuGYHheuG307jaM7ThzV9/PQAyVAc2A5QT2mV74V/ZeqHUlcqJqzD7YP5HVd
0vU4dR3dr7VnJ7b69E20HCWyxLE+RCmi51InQcmoX/p7rCi7tAFu1ZiG7z3qE5mMUc/uTMn6j23C
+rsE0Pp+bfv+oG3kd9VYYbrrjEqZFEkaLslWkkNC66rgI3CXJSm5nPzCn0YVN+n1iEquL7y5i4RP
TxrrUSaJqYrYuLLLtIj7+IMTQ/1xoXrGcujqbZRtU02kqN1Mf2ax6u213nrtiqm2m5Zjk8ZFg6Jh
lBsW6BZZ4gBuo+pWLXR5boYOPZJoIfduQu2FQCPdYRLcddlE1aNlQh2B1ZhOMg+vAK616JzYwedN
qJd97/B0QjxJM2Bp0S1dsdujfh4zu2zujdcB71IfRWuGq9I/DgFZnRvdWy+ZNeFqNS2eim1bMZGb
8i3NqtaFg0bLnC9VdSxHFz4pHi25G1b1ocLteMlJ1WaRUiizbUIyDxecbR7yZ6v7LBIhPao2bNfz
1LB86MXYZSRuI+Bi6T4E3SgAVdOOY2ZKN4VTV9ooaWWzzPjAx7AtF6PT6gLojMtXjLR6ANrAHpJx
ViFLO8jve6E5ujF9s8llZeAKm2Njpgcy3MGsHdVrvR/msKxZS23OmpiflmpcC+XWqs3tOIzPXck2
WWq6HpHG0640QwXpiIid7WkkHeLNvnRbde23le6mBHw0UUN6ZlGvZF0NtawT2SVvKj6GwT6zeH4p
KZeamAvMnwe/EJw1vpxlEqLxE/BLt5sQ7UJuw+o/RGrtb5qh1gUxZWPyJmHplYsgWe7XeGY6H43Y
p5HReWVEs9clTQ66qtiexnWaI8t8f+VqANuUzkiiue2KUMZovRlDjN2Fcxu9ZKL1N4qqaJCeNPpU
G2Ee/FwqiZs43lM/Nkc9Un3jlSJjoTu3vnncNjyr3KI/pJMocxtRXedCj5xkOiasyxZEXFu4NsWh
CHaMdSmpHyDVesrVMR1Dnem6W8asLNvqQMOSHDc3dDvWD/Zs+Rxf6YX3GPiteQpOEXzhKx/lekG8
PIiy7JuDTrU9pzidO4k2eoAjLxnzKDp44tGneazITbLgEXj1uMb3gDaKguPOc5erUJf5MJVF60t/
YSpxHky6I9w0BZCebl+VtjovlI4Sz030si3lNO49m6KLVOuXnkTiuidcRXLdcPM2W15dG0BFyP5T
W8khJFA9zGu55iaJ7SVvamBvkY+furgWN5Dg+pOLl+QkRDTtQLiad0nA4BPBlV9ow5rCIMKvA60x
EGg+15lbOAIU7aKniG2AIWsoy5CJzsZ707VjwRva320LS0oZJkyuhjIWWS228EJ1U96ugOJ7XEWx
bCcKtAzZJpub8W1IujZjVdznnKIOMmdVAuncUE7RclUOQArqhZwIWKjQq+GFZ7F77DBPCgaJRjZd
r4u2Lvnlqhr1hObhqsds2o3GjfvG4THAqbfpPNDKnJgZOAAJbuaDgxojF5XCxzih620SaJMljT01
rnlkuH2LyvR68qmTBimT9cHEu1rZ5RjVKWQmPWaO81EyNG3XTd+3r34d5msH7EtOwALOajPqwNJq
ueDok1mMnKYp2RlisrgK64FEiYJaalvyVa3tDkFCqqSvVqWzuqoOrJ7XrMSLdOoYanqhVnYebHUy
W80uK16hk03rQRpNFpNtHe3yBvkIKGP7OV36CsnRLw8dBNMusZXLWLp2WdybOlepN7fVCoy2HKrk
lE5zcpugNr3wceeLCWmR8yit9yVE+2leebCSuAEBBbXxVzekGV/BNaIwNLmj4VA2jO3NUF+kZtrH
aslRqvYx9+DTa7ZY2uTAOuqLskU6G7AOpwHTOF8Z5Ca5OTcfEW/RTkeayCqhw5C1ZkjybQuHpO4P
fQwcYkt8mlHMRlkx3RzLrQX88x5MXXYuylS7RoUbVXRSVS+eY9ol+7Fc0YchBcou+qq56MI25yhC
1WUT0aSgi/CHzWv8c0pS8oHxrbsDBqyPU1n7J2NLdyS2i+6Qn+md2XoDWElTJRM7qPMwaXWp2n4r
YiBtrwghKKFRR7RMJveZqJ7KKJnOodensS1pvsblpzhA7iNrtkWGZnMdPfR6jk549Ux2ixgP0drw
Y8CzuFzYIu7TUk+5rXqdOQQE1nNLipGgNKe8O8fKogzVLmdxKRVJoIqM2zvtgwGeYIcXxGyStxEp
swRK/ONI8CGYLbqISd0WFi3T1SSm8YILc0edymhqmcTJcOXwhz4Ol7OJi42kOzyxj0Yt13aJ0cGo
cJ8Kvaui9m5th0Np0Ne0xCpZIuczoIYfhko8t63Isa9fBhA2smYwfV6lVt3pMLcHMTEA9oXYc2IW
DH48uKNIzSmlqr2oQrKd2KCigtO0ObQm3SercZnRqjmUsa2Py9RUe+Ln+5jYWqar9RluoMDbfNQb
cA7HjjGF4mpTrXklWLuzmbnesnqxLNczYCSOo4NymuR0auJ9Jdpy5wwvT6GhbRGJajwIBJW+tL3m
57rCpUwDz7cx9cehMc2+5kc0qxNq8WEjbV90qKaPXcenc5xw8ljrpAPM9ZMoKF4hMZq2bZk05ZrO
WapnutvGunuKFtHkKYESZWMRsLBNdCflYn/f8fbG0FjqlcLznhUK64up7d9soMNla9aolVUa2wIA
/iLu0rwfULsDiak76tSUWU+CybEZ1ssNI58zjuNXAueTlZvNlHEbkuc5Svuj12l6E2ZLd2XsUW65
kGPVdIXvQ7xjfspmUsaAee6ZsCi+86UeocIJYr1tY8qxTCM27Caa4j20/J1clhiu3nCTcb+IYomi
qpLdQM+tTZKcdWw587VMz564y6qOZdjQW0ISJceNXwhxH2KT14rcrHVzbKf601LNb2s1MCLjzgER
x31oJGVVfxjR4HaQNqNsoU3INY7iwkXtcjUbj6DKjuoDZK6DQfSA+Jgvic+XODUS6vBDmjoIKN4W
kG3f2IKvIkvFfuTbgUboRFO/SeBau977jzNeqiELhJhjD+ngfkDxekVK9XEmeMsGFz2RWtDrVofp
JaKkO8C4tAZoC4cC4kh6qMaAokT3QZBLR/q80yHOuOvYucdDKTXFzwDglWRxT58IaVEeKbbm6Yqe
Ws5Erlk6ZNugdsChs6Ez2eqmtzkesfSQmqXgQyXNnA5ybdkXw/GRqfrYmpCppX3oWQ30ki5Z3ftK
9pDAd23ZERA39o1dn6MuTSB6IlPUSxnXskma6R6K7HHXJPWlLn29F2i6WYYGqB6p1Y0ayaN2Ys14
ID5HTQx8EYFixBGeJRnrXejrOktq3ICUh5KrENiYp423uRl0mVPLCjzGBRucGzKK/EVizpGIT91S
1xCO9n7WrZy9vSjFKA71OF+xTYQhH+dZ5LND7UPVu/As7HSht9HIBgoO2XbhwPom7KeuxrZowuqO
9TTOu8gwdIyQwgczIn/Tb776uTJoyCBCX6DkfyBDky03uJMz6j9z0LkeFvhuxREB9T0qUIYKG/w5
Yg0U1Ixtuzjw9JDgRkNtMl9XLcgt8+y6J4L0djB6nStZRykpUNdpaSc/5H23dmfMQTGDsqHceb6x
+00tdVbGW7h0WxJAy8SsPzKm53yIQp1bEc4Rb60Uiw5gqLjad7isC475KmTfkfrR05BcgZ8VeF7P
KyvHsy6TTTodg+p13DROC5g7Po9jEh0xVIqFI/Gaw5r8tdvK8eDFci9Kfd9ip/bc6W4/iM48RRaU
754ONzOxsK86rgvTszKPymguKsjzwJN9BOJrkgAL7+5Y7L3cgCesG08qGUe9PW6d6bJ+WT5S5wNI
B4M6srpKLpsYm7zyKgKJuDFdL0G+Aba8BJKeedVRJ0EX6nhONTxXEhChlFWgUPX0MwepS45mxTeW
6XCrx6pHufmqh4uYL6Ckhp3BuPpgNmrOY+rshSUsdMVY67KWUTlaI8s16P1ilPl50Mu0nwyhOwdM
EwiVmfM2gYxcb/Gg5cA7HAEurA26FJT76uzZerJUR08l7japOyg9ijFC6EFQilaJU2NG2bhWn8MI
lIyXHTr4BcWnwCsL3mnbTcmwMn7FCatPZTX2B5hCihjX0xlqefxUi4Ye0cT6L6PqgDqWyXheBiiY
bETiW2xpdR0xR/a9GvS+Hy0QIMR6VFT1DJnXdy09x37KByB/BAk8SA0qxVkMFN/PLa4umhXjBwB+
ez0zova+6icr46Hv91i3pN+FuMVUNn0XMij+O0h9fMvWpPcgs/UzKGFuxeolZYAXsqaLecQovZwF
tSBmLvZG945lKCRvpYjJp5ggp3L41kH5uWzq9gFoyEctqJG9GW7xPD5gYXzuvwpe87Ycpm3tdga4
8ymEGNyVgvCVMusPIdrsS0drfki7RGddVcaFdxN4EciDebWa7SaefcigjzA1cuUpyGYGTxBaCQh0
bIaSwvGdq3V3lRoyZ10f+H5S06NfVQuXP3yoUd9nQ93avcGUXW1TVd+t0dj/nFRppGRc8mVP6Jz0
2ZwQJTsKhU1VPiglxDEVX+nO7CRL51OotQbAC/pixfxLDfRfEt1OuQEJCpAg0C7zcyoeUNNCMhk3
E/J5QvbMtvJm5tsNq5i4VTwNGfJNt3MTfrUqBWekNbkMLXDjQW/kNOo1evGsqorSiZ/FhNID65SX
wJKSbPUNkDBBughaRI0+Bo/RAbIulMb4ogbW9KgbRK8wAvezPKou5pBGByjslgLI++1Us0gGaEzt
eD+dERD1MZ38nmygShYeb+PRjDa68msQIGIkD6pjsJxpob0yGC1VxHw+Yw0S/gCHb7psQuQ62vr4
DJ3dTaYl1RcoraAoNkaAMsTMabLhDuEBgnOwXPJlQRe4FPdrmJKTsvY+hiCSMV12g+eiCFPz4Bp9
tU5bnCnWJTJgXSO5GcR5RuctPjA7TDsMDAewEKTRpJiEB0xeuHEn4cikQAUYEnDmpQK9mgEgIzF0
j6uI2GdHOaiWTokMiMUG5qXj0YEb5mvaOQUltel2HcDi5aTG8mbYtu1inVh6mYqpyUynH2nFbtmo
xW5OxAvT6NSE6pyC2r1P6AhUcCW3AnjRqVZzNvR1XrfD0zrrZ+odCK1jp7LecRmZ23L0Kt+gwXI/
UNJmOHLNHYndcOpHN+W+YuqJYs0OZliA0oTR5dOQ5tWGeN6rLil42kX7dhKymm8D9Jouq0XpCw2x
9tKGsi6zhndAu6cBtJeZQgRUlp7RjKEv1idtXKTddFH5JM0DGo6IAZ7KhG71Pl2hJTjXwBak5iuk
k7YpbRbTJAbJkdk96VsBZkxb/BT3KvlKgDp6TENjPyHQGiB+ZuzO8FJ9YdP1cUpBomoivHOAb5di
bTTPIh+i180AMYN8uNzWy+aPVWeNkmKY4mdaD9ED1P3kvIErPwXb+CyAxq5yM6vxGnBh7OHUSfMz
C8K/Kj5BXQeigfDQFDKGbqfR0tqAepvMT3Qa62sfBQjj1YARoMe0qKtyW/Qqt6kGmtl0RDw0iI1H
FdwGcDXE/uMSc/o4K6TsvuGgU9mKOgtKZpI4YIO4ua5oGtmMNEEMcqvaZYMrqZMuSzCvH+dmGY7Q
jgIaZ2dc76CiTg58butNMtdheBa3PhNm8c+a21fVkiib1ukVyvLIy752Oo97/NoA4YOG2waClYw0
SCLjHKcnj6cakMLBbz53drxcmVNAKWP6bLWBWILheLyMCBs/kQbXPBtx6Xbd7OlnDYR8t/mEHdOy
YpfQZQ1X8+BakMegJzywZdp1dUNvZ5YAoilegaP0HKw3K0YOUVQO0H9Sa6ZTaPuA0mUlUEUPX92h
885OAWcc6foQh+GOhQTakE2JbKYTGmW61M3lFLFwD8qa2vWuzbbNizhLo76dZGkYqyH8tK9yzoLK
OSrpJ+f6yRdJE/cXY9S0j3gSKMegyh54aMh1s0RmzHiZLtCKxiQjPQNWmaAsJhWHxBfqHXQU9/0C
Dlxt6YtVcbVL+1LfgOP3xRaJ+eiww9exVy9iBEVP1sBp5bz4j0k3zdmYVH1hku1mVr7JcdcKOcfb
LEuF14xN7Zb363NX52aMe0mwu4KOoIP5PXqsuj73qxn2ok63J+tVnIfKDcWs5yUPAXFZNsMFsRSq
jv+i5MyaLMWxIP2HhjYQCNDLPLDee2PfI/NFlisgQCCBkODXj0dXWXdtXT1tlpVmUREZXDbpHPfP
T3LoE7rAtlpCjz+a2cdab+LPjq/tXgqZqtJnm74RKcQvBwnsMep5P2RC0ugZZtNRta3gD1barlqd
5z7xNfgxHBAdesajO6n1+Co77B1Tn/pZwlj3YCwL643Gw5hrptoug4sSH7k4OLvqIEui6+iFeG6N
vz4mBIZPScau2fKR+N0VZTtKgiaNgqIJsSfTPsn5Ebont/fBqaNmqyPH0KBNH65ad96jCdZpuCXl
x06doPEoEzbKfAYQkM2B8l+dmXXmzLJDTdmGD2M2KERnt3Ki8zM6M1Qpa6TrdJrDG2HFVo370BV7
Tz7Df+NXKETE9YBqMh8VGpq9G+MrOmOp3YQYyh3e380gWvqWeEc5Nr6tRBfup2Vdk1M/z/pqPoKu
6s3iP7aWbDVMBsic62xnaDf7rOpVWv7Ubi6+hVyJUxEwBRMloytY08E9rmqE+iDa55uAG5rDXZMu
m46EAKOY0+NaHi75ue9yHGq4L+gB4bq5i9Wsy9PowNMDLfW5OSJzF5r53muOQkLNu1Fujc/RkAiW
+TGdrhrZQIxTPj3wA3ozlZiDPmfH9FPZOJCZjWGpJFNovg9AB6rVG/gpbAYcb1pmUgcoFK4i352G
cQcCuQHjKdnm2SRrqOxecX8/70SJ2kFEwNYFXz1rxgBtm+NFLJZ3PxJt3UZd32U2aKnOIsh0EHfg
3/lFFIWeyY7QxKXtY1iKOtiu9sPFeaqk+bTu4X4vduyPs0pEtrZoDHQ4XSWSLks2xxSbDTxz1P9q
b7vHVaUKcrFYwruwwQq9Tv49vIaqs3h+R7q/BAPtvx/e2D0vTCff4cCxa2qCS2dEOGfotwnUImK1
xFoYDLl23vTuwZC9mwKlMyplgKci8Aq/D+fPlol1zxzfepK5LoYUjJrhGzRQdB5EhXcN8cMSYJCY
cOPGOxj/7jy1ks3Z4iL/qhk7vNpihcHkUQWwy/vEtdOfWYt6I4+nzb+C+ozdZhNUfOMQK9EmRDau
QxuIE5gdhhtk1BuEoU9de3y1jg3YxmP9EpJ2OHeKHn2G7bR7D9B/vq27D1vH+P5+shp1OnqNBd2U
P4AOQM9SNKzbyr538iHdxyPnMo3v1nFMSjIP9nTIfjtyKH1rFSzNFFVytmAybCa4RSe6evk+hPk/
G5weskR1JPoBjleQ6W4KoGI0izulHmGwMry09pQjD1Pkb9eJB+d1xXr0CMjDyw8o/QWKdnc/0CY6
kXVt3ttVhi+qX3uwDqBW4Pb4gDm8aKsX86GPe70ObgWx0J18PaYwvNYlt7ovpo4CJkoa7ASd3CG0
b10/ZoFtitULyLVvBpmvkgDykUdM5mJKE1HEKpZlmiw/RdCtxTpxZbJFAGfQ/XCUJAyeE2j7eecH
rI6xmpbwd8drbyD3dJNHtcQTzQg9kttdqwn9vnNftyFUW7akNn2IYH5rtEgHu/W7YHyEScueiBe5
exjY8VeStvLK22P4atLfLkIn+5E3zWDycGrTp2iHy7iH6/sCHbrPtNHHTdi5vgJJo2tspeBdut3c
GTI+At7rrx1qrpNgS1hENn1Vo26LRagOpWTqxIsCr3NvN0dd5ptIvDp1wCPw0gNwU7fN+RweNxoP
RC57voXZuCfnpe3rdrTthY4d5EiephdB6e3M+7Ew4Zie5LTLM7SMLT+6ecQb4ewlmAHOHEJD39RJ
MuY83f13LjWojzAM37w4fEw1f2FutvetbmSRcHRxvV6aYrS0LUYnHlr4hB1oqFOUJnh/GNuvdjFD
eR2cvO2nTedS9+cQ5eyDTDroBmiirtk+7n2G5im8mRM2naD7fUuX+Tny96umgWGUevQi1QjTxk8b
cxLc+e+tVkm1DCOraRSNL4FJsHCt8KTPUshLMMXmCpoAmJCIuqILiHodelyodOFrhjZZpZmGUe3D
fFg+lnRP5Sq2Q9WoRpyI1wHrmAywHV/Nle1XCADO7MTP5ga+bBv5wwOW6W34sORdiZ1jquBJ+leG
bD9mHUDrWRp64p2FtDfAirzFukVz8F/7BTxBBHe6cc/b2rjbVHJ7YiY9HoFYDuXRcUhSLJCPCsXF
o113UjbtOH/ah020WWvcduVGf8lbFqQ/Yxfy123pXdYeaEqhSHPV480/1B3sJfYmu2Ev5m6CatBO
XtFL0pdU0vYsLJ3OY5uQh6CLu9tQLhDKj3bQObPheg9toP02WPjJWTfLKA8hRAJ3COKrPV6i96C3
DuvZsUA1dPTKHDvT+d67AdxWBz+BRuyb4iy6oFBpvkEkRA0hPqSoUImHDk34iEbA0Eu6vn9IQW8+
B5WVsclfPx08Jq9QN7pP4NOOO2gbYdkw7pWHZuJH60XB4+5iOAd8Gp654G0JWwDtvfT2LGRz8kT9
wK9bo2hO0rh93BrY5/kcmeGytqL/OQXh9iSxvcKY2fmdYopSsBPDeBpXEZWe4PxixjCs1IK9Bs2z
9O+HYbefILPEN7CshjKdUtPjkY+WOzgG0dNo0IB7094/9ZP3VSw6rWKN/dMM/NI2boGdQ/Vdo1zw
hcoNsmKPdyaT0+pjT+w8gEF6BGJzkPPSCy+DPLM9Hgfs4oxYo4tBJnN1aAgZs2A2nxkJfhKR8isQ
OrPMZs9o9LXctPcxioMKZhy/jBPeQ6vViMcWrT5aZ6gFcKPIo50W/igYm8oGIMCz5N0TdlfUPBS9
NLbf8KTHJIGX1vZXSz+4l9i2x2lfZxhPHiJ+GUFZW6BG7t+YmHeI0R5v37cogebGBmEhO0DfPsDV
YInqvL5K/DC6Wkh8fJFzF9dpC/duWccwZ2g5cyYUtit4fU9Qw9YTpckH3fehvc++WX4CrtnzdGro
06GC47ztZshx35YMTRe7zL2NoWnAicGrqrI1Gi3kkyWBrrDHXpABy+vwWMLBHt3t1q0P4xGsIOPW
rTKMpxVoMtScTefVEtbN07K5GR3zQk9+pAi6qjSwFE3lnv48vJhipzjkS9/iGsTRElbdEE/nabP8
Vguj7yK+9Jc2wOdvDoCCWZ9EKS558AMLjnez8X1Zy3jwUi+jw4A16P+AFRNCkGGv2s3SIB/S6QdV
Ey8d5cOnYd0bWChAhl/iAf4HBX11v0kuPvds2W5pCNMFOi1g2H7zBqxIQj78Nj34K878C2b9bZp3
DVDj14Tmv778v8/TiD//jBP++39+BDz//VX9Y/rAyJc//tAHCP+vn8JhfgXjP+jz333xJxL+P7Du
j/+MkP6Hb/7/gfAg1AOg4f+KiP6JhP9dfOPfAP2v/+4XDp75//DjKPUjPwH99VsOHnHRlLAwTinD
Uo+/o39x8CT5Bwn9xIeQTRlJkhDf+pWEJ8E/IK0EBJB8kqY0icj/gsIDtf8dfx4zpMCQbkHYAnJZ
HAPS/y0Jn0Reo4Y0Tmvdmr5SqJtBH8RdAbkkzVa5n39zeX59RH5H3v+Rd8fxoiAgUZLgijCcyO+P
J4jjyA+ypA76pakb0osfsAHVwxZIwED7ZouRH1BzDH4K1BmoOgbfgZrXQ3N4NhsJX/qNp9t/IfED
ROL+eB0ikvpp5FNCoO8jwPvb68CWpYvEPqa1JcPnVeJzBNZLMyg9KFYjOJQHIPsh1BVHZVK0+w3V
xr/8/cXBPf3TZwgDxFp9EgchoX/4DH0Kz8UJk9Zz51TN+4VfUjj8z39/lL+444iepTRNQpawkH18
/zeJgwQXWbSHSOtwAqXU2zdENLqT7YY5U3ax/+XC/sU5ISuNs4kSSiI8SL8/mibwTZ1IWc0kugcH
VTATZib/5SgfeY3f5TkAs+KNQDwkRvY0JX94qghABGUpT2pQBDiNfodxN5jHDSn1//nisSBCKInh
fFLEXH9/OtQ7cEU/Hl/e+eg8PfHTdofK+1Deh6L/JY79Sxr7L16Wv7hTYG5DZJzDiPrU/8PBnImm
KVmipJ7CyMdyD7a03eCSjUeMXQ1K8N+fG/m4F3+8ijBwwhD5deR40z/cqy6A+KCTJqmVF6EL2SZ2
bRPuPw5wes/T2PbFLFVctasF+zCJqQr8kX+NhxBSg3TqUQBHR2E1bkXYxzyAhK/mHKGXoaCofe9X
yGVzgU6IqbMRskOROKYraingm9lkFUqVFbSXoSLeMl/ED3oc9S971H+8pH/1niNCFBOGojn98/No
ZUcs3bukbiSIL0G99LxvFMb8Rl+8XVaz4MtZ6uZnErZzGZGePNsGG/PfX+q/el4ZVu4Ihhqq9OgP
V1qLPZLYtBmyByY6u6i7lT4A68Bv4/x/PRIC8tg/YLsh5/Sne9rO7QI5g6V1wrsxdwg6QSgeP4MY
JuXfHwlP5p8fWOZjtoNPQsg7yS/f/83SosYg9BKywPlgGylRZyCygBX/nvixe4w9PAhErc9N70Dw
mXXvizX1Vc5jaA5ZPzm0Ncs81HuSMPTmhsZPaFfpF7qp9GSREhig55r9iS1rdL2u23SF0FNXA8aC
BDAjzuWqAfYN4gWByn2Qimef7elpbqO4YlruUCcWVWitkLOgmgX4QX8IMtpMlNd2JTBExoDfmFbQ
O0kDJ/KlXeKy2RwBe5V2d9wfxZddifEcwUgv/YGh0GUf2O2mknOv1uS9C4/ozqIdPB1LtOQehwxD
mY4vqU/4TSD2gvXgrQc+j+cWtka+jAEoVMidzxHR8zsxcv6SIvWRNYCxSQbgludysihJ5bZXksnh
1CGN9uT5s7pL/TFVmUtmi67aHVBMbajeZ7fxG721/LVlsG+2UaXfYrugseR++Kn3xJscCDSm3pvi
K7Hqu5Dp8DYZ20L5COpE3niSCHrMWAEa8hgE6bRkYRunYOzD5e7YdvTAq4rrRem+xunM4JSYgHoN
c2s5JjRO29Q5H4mUYb9mBqmzrOvNaGATcpPkxlNdPSi7/UDJhGvywYK1rYQjP5jgVq2c45KFxJzV
FC1vAcr8VxqlQhUjnZcYnqHPXlG2IYJEJVtf0mGMzsb4W26V8nId0+habTFgX+XzBcxzik5EHdj6
M8SZRkhWQzSZot/S7kQapiuZ4n6TZcPl27yFfuExcm8N7i0WoS3oymim9FM7k/0qYST6BLIPanzq
9+0d7HQfiYmtx3FSkDkpPI3FYeVEFgHI12jZq12Amb2G4SCzzffFN0UFziHhFE8828TyNEQohIqx
tXPZosS5jIvOhyBKfh5NuAvoN8gsFv4aclGnZBbgEHqwH6Qf1eWI13gqugG4OAc2m7XcxTU5UOBk
WA/GrzFyQTADJ+4VLAKSpBFPyMKmN6eNg/CLD6/pEINrkLKbvEPnPlC1AurCbW8cGOhw2qBLygCf
t7XQZrM2XdEejSRuGWS67riGnloZJBkuLaP6qoHm8RRKu+Z9t1duTtpnJPhc2XUzIFx8tpP1pqZi
amWnlPoj7q8biwaOncngTeCjtoMBUTQ1wesWpslVuKsfUwAFtTMaXHyr1GfGWRygQA0V8B6ts9hD
J9qTDZ4/mGtbe2kcFWrocfWBfN2kRrK8dXt7bqVOca60+YCVxi8+skC3AhTkKQ01/w6dh/KsF9Y+
bAKhvAG3+IknoX8SnTeUdt/a2nPYhVGK6m8bHdcHwpb9xKw31noxaalIE1RohuHBE1a5DQUiCLfo
CuiuKF1iLEQ9gYwO+kXapVfLlKo1Hw+LwOzSpDl0iZdm36Ir0HxAPoC8XGlYCV+6NA5fyEHXEqp9
CN2Ba4Oq/CPy59Pp1IKUQ/cHnhuKV3Pp+g/ib0ZxDKqjvWrm7T1N9XJJJ78HLIcEIUJW5qT5IW/W
gaINniN7FJNEJqCJtYCm6oFxioyYCjei8A7pcbuEqi03kRxPRCXLzXz03VckaEZQP3D9sc13tVK9
u1+2yZ4B4/H3ufGbzPQHe4lVdAAy2L1C7slx0zDxbmIW19MygheXfMmb+J4P46Pv98D+2jE+WwMB
lH8kCI5tqwcoJdUUxvaHtHIlWT/3sBJS4wXvjqnwBsbvjeUtULNZNLmzPtIi0R5cD2sILilO26HS
yC4VdJhsNUUfCn0Agxypzzk7tN4e+TLLrtIRCO5hPQgcNO8n0LVstAl9RpF01Ea1KkMq+BWWil8H
yEiV1k7BTSTXh7nT16GQe5YE3pwfWMFrzuWX4ANya3HmIRgHUNwT/PUV9DloxLY74NgRu+WhseGt
soY/Sh9Ee8Kb/Uqk0U00AZpDIAa5WMBMlbVGfeYQH8BbBwC4d0AjVKWVANBqs9jZ+F0mrSuDodkh
pXAImKnfcLB40rMoq3Y5v6Auc4CJuvA0IBZb684OeYDF5rYbfXAZymNPLc73k2YW6BpUOahNQzzG
Dsu5Ei4LBjMlRQKpwS/prvuthBg+gRdlRwI9X4IPa7B4vW2tXr4ikskR8Uug150bsTtoWxLW3roc
P3fSwSXsYrCYifkyHsN0xq87sjV1SyUiEBoBZapY9uERa3/hY/EBOuWr+hALz5EO7z/BeVEXBIIa
pEeOIwt2q4p+aNqq65AWBbSA19jqK31wd5cM0etG4MU0zHsJB4s0Dzb5+9iboOQcXPR53wYAUHhs
8eT2y5CDZkNSK/afkg7yF6K0XsZAnZxW6GwXty/RaVTGnA1HDBkvtFR1TPFQbIqQupmGuMaS4pVc
L35mZzJc7+tI7s0MZ1IC1/40pdFSqggZYG8XV1JjtXALm35iQ+rg6trhdICse2kCHx5556j9oYeD
Rtnky7EQejmy42A+aka6V56XTkiCT+MZ5OLPiSA+4ywPnoCBqUr7+32nt/6yH5TmEwudyYLA2163
vm9+wj7SJZKS+52CYH9OqOKVJ5l+POjQVIDVv8MBNreB9Jpq6Ji8xKnoeiyPpj+5DdlTK6Y9Nxxx
i3X0H9SBCNcStqQ60s1VB0I/HRj+RsJBwJOQOuJXQWgQcCTiqCbX9VfRDvAtW0eDiIzrV5sjEDp9
Iw70KIfivIIcwBVhoPxrLlmACNOUInQZX/WRed+1m27c5G7dMC3f6Tiba8CRc9EEg0PAgdyacFpK
xpflS7jEtIYiv53hEdYQW18l3/s+M8fclEpyeZn4KMp2dk3RmHh8cYtbb1lip9rHJnhCxvgi91G/
RHObIlmfkkLBd/+uEFHDzo2iICPdhEAMpggUM8Ha3E9xcwvMpnkINinzxZ/jDGAM3MzQH6YCQsZ2
71r9Nu9yzSbPXLdkG/JxtyV8oK041n4uB+MKPbm0g5V61Btbt3wg8JmOObkhB7hX0nXdAwp7SMYN
4Nr94EDOZZiSbHTydRFeV82JLLfe/ybj7mRssJ4HswPMaRdyCqekKdNgwy4cuui0wrSqBw8JIQZ7
BDRUtcf73mXz7KUXNjlRkBAoXjg8g9EZC2V6ABeWFlI1SCb1ri/ThjVlDOCgbjfW1SGOn+mRflsV
5e/JGK+QZvE22z0uD/Cy66xe9nVJEU3ZL6tnXlNBkPjajgKX9hNbPezRrfct7aZXEvY3soufmg07
VDcGd4NLfjT9D23TrQZwbDK/a57X2LTZqObLTOEb0eDGI4cB7GSW60F7iMuw4BqB/b7mNky/TS6B
4UBGBJqbXKbzVoexGt+O8DukuKFKiUKswgqkntUMcIPuENjHpXs2U4dc6yJf9JG+xkrgP/Wln/ln
N9HrNhg+RYSuiHpEGmEmLSo5ti8tYSc6js82FZ8kUed5jYacLvI2jHt8dgL4KJ43W5oNuvgqJpsR
z4gCMSQLLZqcpbSqsvHwCAyDnkEsfIXscI7tXoDgR76EBBihsG2FEi0/xQHZ7iRr6N0+J8uPdRgY
RDN67rmHbCY8tmrj9qhHy7/2YYLGHO3+86qA4H80+XhlPRp/gys0V+MS5Q0faaWZP1z2fvBz2Jsg
5FoXqzKCGZe3Q2qKxSGSCe5HZ0zKG4RHXL5Ih1plxkCFEH5H7TVoERbb9ejqPdQwOGHkUuFeE4Nc
RRTJ4phwv9G3IkHgJU9p3NxFITDpmOjP2wjbFRAUGGxUn2MP0pxyrPkAQhFzYI/tEd6Egr+tu7wd
Yx6Bt8R9bzwMwRDJoM9tewCpjOSLv0Yu13A6iRPzuwi2qUCqfM666WviRW/IWSLmDHgq3+cFN033
rzMJzT0MtPHVQQzNdvjNJ22b4BQdZCpnjuEIs1rEl24zKxAITNQwEEQuifSB4yfKKxBGR22b6M8y
+IBf4hhn6gsLhGG7o4HaMYMgnMojHMzPZG/Du25yqO7icKh2358qMBYraBb/RqJnwYyHKL1YyVEc
YXgAJfper2gw6Jyq93b2aC1bbpCAP56UaaaKzyqnW3OLgR7r3aKAcDusHWXEeHwzMQLXUzj0zV2A
YQwHgeeuP6xmP0ZznEr9FvbiKE0a+hXptF82fGV5YmP3TDxEhBIJhM1q61fNlEzfHE7qkmgglLHD
LSWBmU+k9UyN/da/nRVyps3Uy8sI9hQsVxnLidz4uxrKBnbZTY/5MK8LvNfX1NEf3GGGByFyq9sh
9N+GbVhPMhDe0zxv+qvFs30P4jEGzhMizxyGXj2v7Va70bW5HdhyS80ylhFknCJpW/BeqkNGwqKa
l6j7luTFn0AVmGYNKz/o8Bgu0PjyARlLPzPtbM7LOCCZ4g+fdoVSsYHiBTyjlWWngj0Hgu3wumEc
BhM0hFYtUCsJ35xiJSmS5XF8mYGPf4K5WaBhissBr2/lL4E580iEIPOpLTTmJtx3PhWoFvv5kiTt
9hGgemghROXbiDsOa5SdyEaDykFLAXJpTY3wYncTOa3PwDowWsK6iuFFRy816qtJgO8QnUZdCWz0
hlmDAlcOiHT1gS22g7fn+dh0bRyJ63FY6RWOs5em69v6oGRDisumF54yDs1lUkXYoZpHA/ZkFxJ+
7qUI8tit3xFjwfyXvvksk2MAitTyt6E7vqMd14/MKoSjG+2ZvPPMUmF+y3bl+csLIfQNh10uUrNz
G5uoXDBDIFuifc81h+RG3ALewFe6vSW+B21IagDyo/GhBY1eANWxi3Okx/D4TNNc0XbiTYWmL3oz
jQ4KPILz2yawTfMPtiyVBrBkC0YwR7JRPkCrkC8zslZg2tr5i+jb8LHbOv+efLjE7Y7WMMOgD33f
E/ZVAQ14hB4X57OH6Q9jNE+55YfIV0zvgcBkkmuQ0PpaTqovY+b68+YkJFHF41J501h7XguEDQZw
FmKMAMZugJvNqAbcmwaTzYU8Ptsl8k/N0ezv7aQdjH6hoXDEXxMHwLMFRpdHYdCUyxjOd0PIkXzb
9u463tBpYdolgonKf2BRPAO/QS7w5JqwvW42KUpEKLsrsm3dAJIYiiogZDMkWWTC7WEXfvR9E1aR
i4c5MjUmBoRpHsZH8h5I52MQkE0cLbVpu58THrIkD2cwGNdtg5GqB9jeJB98T/My9UBoF1Gvh3cb
U1N6u0Wnd6zHs0+aqJ63Abvj3kcFXJMngdkLJ810/23kwDvBh7oida4pfYnMe7/M9IX38qpft9t0
DPRlwKivbOqxd+BdHY4b4OSsFEka4iySYzFZKxFhX5NhesWB9AsG007v/cfaGUzj7STXvhIS4AgF
51ANgQXCKNJVfpqBCF5WOpLyiJJpL6JJ8VNAMVLAqv14AgGjnrs+jG78kfnIrWGSjv/BBuyegMq+
DPNwCmZEkXDozhTq4EecrXuANXH0sf8C0k7H7EBoPW8S65XAPT8mO7SeyIfV8EolDbT0XfW86Hts
BuA4jYeJCGoZKo/b+UvcM0I/7kn/nGD9uTVjigG5kiLnx9FM1gaXOr3G/t32VUf0I6cLVq/+MU7Z
iPEtGC1AoV9mM/ObG0vNfQSbvoCSs+ULR6702LxbCO5J1nGbLxvHwgsfofIocCWNOE6NpAuADzHn
IHxz5nmYe+V6OmcbU/0NbYTKerW8JqoTbQE8xkODMMdfYrRSJ4yZILnWfC0tW2d4Zat5REsJur4f
RT0iGlA6NeNTre273bH7EWpciXlVfg3p4/uxkOiMoBWg/cO+mr09KbvaGkotZpGkHIQfkUsZfjA3
0iA+NHRgpuWKtPje9uoSpt1jvEpTIpt04eAYvRxPS1DEUIUxPYmbG0zJIF/dlCBdP4pxDFCD70iC
gOamkELn9QoQgqmThHoYKaX99HssNlaD2pnfIH/MDzJd1sfGAjpJWSrucOXRF0O6q4JNJ3eo5RDw
V01ajXj7Cn8jP9a20aBiAndHj+bgmc8G/hUaLCp86OXzlQyblWO0wgIvHthBklSI5iCEZxsFAK6f
2Lr+REY/cKUf8MMvYutgO2IWRIs1EzNgXrCXGgo8ZICaRXeDNhj5aaQWVrbPE4puZMaaFADuMSXj
zUp78dLHGy+DNlXXSxNbRME+HBfeeZ/3ec7d0LUlhibhtxu7PFKLyPQ4B/4dZJEEv3phkC8WKHo0
AfxYMdSyDAl4BdodQ7LKsQXfBKfHgdGSBfLWG/IdQ7EuYslsKEp0QDyf9fzTHPoFMDh7kc4ik7Ug
dw7IVC4joO7jfZTuDaFY5KrXnoBt6ApvAfmPOEKDyEbXXZoJmhAMnXMzdN7rYj3MduigXUJ2B7DX
Ht1l5q4Yxzaq1gldl2qoOKU+QzO7RR6El1aHZ1SwgNM7wGrI863YFQHBpvMCacdiuplOVwS3F4vU
CBJAyJHAVfFuJ+BXU+V7I3QcKBrtU4g5bsChzXRGEONjSko7P8XbPiLEtsYBwNVxgUsNwSNGqt2Q
9X4JZRRgAQvjZx8A+En3DZpIjW5lKkIe6YsXEn/Ndn9Hli1ddKYayJq+TeJ3nNdRrfu4fBgVdHoN
jw1IKTqW4Z77zfQxZUKF30Hoouj1Zo8VM5MByaEszi//j73zWK4b2bbtF6ECJuE6t7ENselEUnSi
OghJlOBtIuG+/g7o1DlFoUpSHLzWi7jNUkm54VaateYcC2M0k2XWLynkzAqtb8LJEEwNnqcFKTUE
ljfyJc/2mLkfuil2r6hIVdc5EoH3FD7dc8e0rEfdjqL6gBQXFkGkiQEFdC79l37yKjYyGsgfnRVO
59vWE9JpDkk7ZRfEVtpXZQM+T2DxLYX1qAjhp1BPa2yq5czB35eoZhsd/2XbpJiEGl9kr41m6+fh
OI0nncrIfVLYYXTIYk2y7lTORwwT7o1dp/ln7BchGdMoulFjtbiZLdyIUkXFp9T254u6EPx3Ofik
IXKNA9N+LFq8FXVl3/uV7dV7aEnGJ1lH5mlou75AwRk7t5mO+A5xsoxutVmQ2421MzMOkydd+t23
qjSrJ4pI4XMBZuZFI/aPmuTJpzzO7NxhJ3maymR+Dqcq/gDKi9CckrB7MVvN+UQWWHzMJcC5vp6R
EFhJxMfGFn5eNPAln8hFrQnBklKBsHCn8Zs5e8NeI2+zL3VMl1J6othPyHeeNLuIz61Rn67bYfBf
UgO6nO5KlI7TwtIizexQx+gwLVVt+GkmyUIAVHnz4pVdeDGz12ZTPedtkLEB3HWykPFZ1NsPLF7l
175U1S1uKj2g2KBZO9tuoyPbPDBcmfYxId1T7ajD4yhhmj/0RpTjKczSd+g4MBYy7TdHq6qLW8pl
Hae8iHyXneRsSkqzqO8nicR9l005iIvJJgkpTJlem92Qn4th8s7HMO4uElHVuFISCoOV0VnNPoVp
M+O2THK03YOuH7qsqK6ZMDz4cwlvzkSrVAUck3Gb9GbDKboqbFB0aBkz9tmo178YaTvckbAebnU9
bO7hpS3SKZVfl3qZXcxger75wvauQ4BOV5FwNW1vGr31zVZd9TUzs0HstL5SLyXSkw9p20p3l1tu
6xy8pFHlfhqgdO0m3KfI+rBuxxRIH6TdGOnOq7BQ7dB66e+1thNPkVsUr2XUPgHYQoAr2ZH0Uw1r
yc0jYyTj3mS3sxqmT4X0Y3ffkjtV7KccZhhS7zMeBdJ64PGA4XEM4CGrumeDoTn1rF+kMUauQ9wZ
OvUGLF/vsNTZ1cGm6socEZVAZdB0XcYp69cB6yMMqRlzGVbVvsiRP7LYmBDk/F3tafp13wioH3wS
5jtduSTs3K6b9rbjRp9UizL4ELXygzDAuRwKHDznfdFW72NelHcmPCkeJQVC+ItF476yNRL9zk+K
6UsalQPJlbx20xOwA4uNlCmn6YyvOZVBaLBm7rpWYhRw/dL5qOBxImRky38Zhdbw6HTLyuY7QxDN
Gll7rTT8i8idPrdthovK5aHsOFoTJ+yRuAOKCYbp7KuGJZc89kgdx32J8jl/baMhJGXZ2ZgKJ6Qi
hnFld6QwWQtE6wSWcCAWItMfTXTdLQUPi//xYHR9r3b1JIzyWEcWfB1luFV3FHFC6kwaCPqlyM9d
kdiQlKJON+By4KfGM9d8aScX/soosGT1lG6myyzT8r0+dM6HuaHqQBGDw1vRhkV2AjZhvSI91C+n
VpQccOfJCKYez6qV9c4+x6Jw5uQUgfgky3NwCRTKXIppt45POpMapGI1kaH8MuMKYYtnau1z6sbF
YejZTVRx/Q0skX9pa8LHXGD5t8NsoQvktuXF1Mr2epqUdqBWyxl/ys6Eo2s7jWpfwNkGmy+n5vpb
4/XYY1FxJrexZ9/k1H0B+zTRQ1wUVrI3pQaQqzDi/oy6fXxWSvEJ/t/0XnNS8UVzSO0YpX41mUb1
qmwrfQRilOuneah8kr+i+eCzml9pUWW8yyG8vI8083dCjL9LXnywHL7Fwo0fXohFqPFGsRBnuost
qPGWMz3FU07Mty7muZscpADrNlvVGxBO6SOGd5bSXwsmxD/JJZCgUAU1XRPhzUrfM5ua4yVQx4LJ
ibob36nbU99Kqgg6ZXtrABeBSJeltdLT/nWYWVJapYqzus8wcPJmsxoluucVJDtrPdmj+5Vwuhzr
DPqGpN5sGrdlNAAyNQsHIiQr6nxqHVFdDCKdr7FBvpNmT6nCJjdoodQCwzRkM/MKO2DW+lwjsZ2Z
QTFmIGJRBx2ckLlMtUqwQ7EfRsXhwB4m47ZJnC9pWaFSd9HkNhoTflqVbrXjMIZUavSs3zw68+8y
Qt8nZ0uzAcskO+iuRGwFnxKPT7BbR0PJuUG/FQL8w16l03lpIFkaJrQZlk/d3ZjUdJlINZ35+ZFd
wKIxGMxDiEPD3WNyLr2dKpxj6lv9uQ4/aF+N2uWoK867ecYG2ErTEzZK9zfCnEVIulJbATOmoCW+
txOBpfnjp5ewltS93/qB3tYpRxy/nyFPzmN8OWvde2PsgU+yOO+nScYXkP7VVype6rzVF7UeCTfb
KDNCbNBJe6Db+M23+U8XJ6Akgyz2Uaaunm9EDs8xHLwSmUGiilIkUDIda8dvfsaAK/23h+CDc15C
gKndWP1OTcFYyLD2A8qfU8by7WqnYWgVhsh8sc10ZAgywBKlEZaHUPXO+4RNKDi6ocku0ez4N/nk
ZchmCJbaxozVWQoteBbO2lEk+kPdZfLp14/GWEsama91w7Z1pJPCI/ezkmk2eTOTkODb66XJpDBj
Y967OsnBNMxqEIGxePKzm0pPqpd8JntG/QeBeZ/HF5OYnANihunVTqF9fL+uP2XQt/8S6v2/y6+v
/92YZ62/fiu//p//j0TazNs+08PPRdo3r4mMP/27UcACAP/zn/zJKXf/YPFiF+05Olpoqg7/5pR7
xh8CDZKghis4ooiFiv4np9w0/7BdG/a84+os15iu/qPPNtw/PMM0HP6NsUxQ9n+FKnedvymTkeoi
ynR0vF9Cp4qzmid6p8FO2s1ndV4hcGJvy6SGgVG/jt02PrauBD1QG+HRL1C/Hs28CK+w5ednYT42
l5h2jSP2J3gNPcCieketUO1Ms3MVbIbBbQM+3/Z6NBIS5n7Vjceo6zwAmcnQXpT+1HyYE5gQOPhx
Hlp5DJQrbU/glbtjD9jy1DQRVGXhio6ja9f7B9SOaqG3maiHqkmgfKEw1JbnppeLywTSIY7pmnNB
qCztekihg8GZxmuwK/xR+xpKBUbCGwz/c+K33l7XB++6guZ4USlfp8wHMvPKAy3/LPWF5YhiEoBv
VrscTFpK3pJqpYoOPeahJwSDLwP46uukTR7Iksx7G3TPOfLS9hNUn/hSmE38Pmw7596ZRX6tJ6kZ
jGjAjkyx0DKnkj3tpGk70evnndbi9arK+ejz6I5GlMZwaOE46dBq3rcl/JHMhwpRjfmlGXXJPpLZ
qxnV9o6aTfI+9Gx8ZkadH223nz6S1nGuYhu27m7WNTJaiCLwhqVocy8yyCUzlWOLtVaqOsY5jFbn
UgNSAq8IXiDH2twwml09UqYEHux6j0Y067fOJMf3fk/d7xw/sUlaPY2am8waqfwyB8lPlRsPzfnA
QebSiSKTPEM1hDeVV1QG9VOPU3PRpqSphtrA8wk4OObY4+KEgvUT+Sh8Iiz1bMCFB+5clBdylOk+
xAplgkzxUP9FAA2Ss8XsQol4ORb60nyX9Fr6UeuVeRbKoQzKVKuWW+oReUS+91h30j7aSEDIrhf9
Tcdpj1fJAQfr9+jZHZ6mtr8ngx5Dn0ws81nZg/NU1UaLXnhojbtF7nvjmKIvDrDQq5MC6HEqfIHe
Y6Cw+tyRnP7c2El6R47JOloaeEDqJdMEU5NbwtqTG9XRnvIWpSXMgfexq7xT52ZwRbJoPCvIeuX7
MOurU1O7S5Yk7zgx35ttovb20J+5WvyEfHnETT/171THM6bYlL6MbqNu7Yrcgw1lfee15U03Gu+s
aYJipMb5DhAs7nW2S2eO1kKRMIrmGiCQVQS5bXdE9TTGmLLQ63C21EhQ1WzSqM35aTuT8hntg9D0
4SuA7JeOlOBV2ljl9dD4I+yMIcU9N7vNSVGSvqqmsboo54UA7ZlGeJNKCaiMHUh5CYawDc/MwQAL
0eqJe8exWT5RwYnpAwDn+lr6RvthNAUaFKNlPQVrgW7UrkM1ng+eKdU5UgAnOerUjKaPQucl3Uuv
GQ7SLqvX3B+QROyNxnHqK49vn2qx0ajEeNaieBzP49S1DWzEPUwDBHZIFiwnDP3vVZb0YE9Qzzu3
Yh82KAgjFwkWb2uvG/30GHucrTigF8+GOYriIq6SJkj0bDnzd7ZKz2AkkaBniqbE4doqf06ScQiU
32r2nsn+STX+cGVYnXynDVBy8ha44z4yHTfbefmov7pu6gZyDPPr1qyyMxBWgLy6NHR2lDItnOPj
9LmUofGSt2O+d1so5iNRxAxbA5VIuxqomIm3Lddnexr3uWiq16jvqrtZOOHXVENAmLlqfm2HsT+W
ps7ARphQ/skREY8BxR1bPiSk0bw9+jQv2nfIYMb3k2zAarqSI/KZ2/BXkVmR9l5UgcMxofLnnEJz
pN5QqKEgw1G4tXleKEsVEAmTASVQFs0PqRImR1p6J1hYUpejLikmjr0LhgksufSz69GuAGK5kXVW
c4QrSWhiQDDrsAqA1M973a94lXl0k1O2uGo9QMSaGEfAJCKad1SRiddB1hdwgWf8d8uRfRrH4jqC
X/NoJ0101X0/28/CrD+q7yf+NiMkdnIYa/vgqsa6jJA5zdRQljRB8T1lkH1PH6Bln77oollM9Nnk
f44bDV1MDSECf6OLMICKi06nAsedLZMUxES9kRO5YGcYQ9Uh9S5NjuSchy9DwFjJwVEqArLGBJ/c
uJXeXg5IcqvzdK7F+VCbYrhGpDWcLBv4kSG14rKCN3EaQnwpgFjGcZ+ie+ZUFHfv3VGhd81b/VPT
zfBEKUogaAxBVo6ZQP+mSY0cFhZw4BllTwrDnDPnUwvVPz9k9eg8t8pW/p4qXxqdsm7u46NqHKpO
C+V7Zs5Ou70+DdPXyPD1R9vohvvOjzBWV/3U3TuW7l82xPBu1Ezx3pCNeNakX1wyYYsLuZQ67LSN
DsMAIdLPEUYoJx52HgS1meSp2RGw3wtwr0VeiZQFh1otl4iS6l0CLl3bF7xKXJyUnqcz2ZI1DEQu
rG9snCZ1hmiomO6sSI8foVID6VJsui4zo3CiICEt85iOizzJ1Z2uvmgoeLRHkuHdjeZifiXHZvrP
dQ6oEdg3CA1qIY21oBl7Er4akGE6fLBf2+ELyWxg05IXjW0rLW4kktvu6AGHfkEDqd+0qdYB7rGU
Qz6HKjB7CGzoB93N1UsDmQ0r/awdqghKCT58W97LWWifPA+b3B4VgZscFYJbth/s5hG7UC+GMyqK
G+66uQhjatsnp9Zpi5DFSn6VEC8s2q0MkbejkC7cUzV1nCtbRUZj4dkgHYr1mAnbmQ0N4ndXDNfu
qNMpgMIlOs7INupXwzNt8JllX13IuEHiIIbmi6fr+anmxPFFiX6GDzKGHmggE4b+npVpPtZVg3A3
TfXohYR5e2WTLHjmBD4DeptIr/ZG9egNDaLwXCaRcaTqZF8WrUyPadHDHoyL8hXoc8hSFrYfZsrs
5y0GKgJLOerdmNV+sov1BchTQS8r0AaniEO9DDNCpprbNIHRC2sP8gIpUeTR9JZp1As+VNRwESc+
A3e3OXwAvQZHJ8uMNDpqnoguNeFFjzD24680AgV3FfZDXh0rVc3GPplLPr0xKhoUcS1ylgh8nLlr
pCAraFhkWEMThVavFGZ2CN27xorboHVQCNcNCDKtmObjPMUBG9JTpmek1rDOlmccvzAr6Ajnd9nY
VZQQB3RHCytNly5TYFJk8nlIfEriUQeDscgXfhRf5UUE1e7UwUe9qvpoeGggDFHfDYuDZYjxxW+c
nFpxqzefo7bwEgzKsfUFfhsCgv6INGF+iUPnK6htPM6OHp1kaEKs9uDDUgiA5LrzVeVUiIeLiYoa
Ja1gmiAKHTWKlR8MwWr0HDdATnfzaNm3Vu9453Mi06VLTJ43p6irMbIMvjIxTlKP+Ax0YGz2MxME
/NNKFYsUWuthj/j1Cem7te9YAwBKw3Ks/GR4CrtxSeXk5hBIhFEKJQNUqQUp3oA5nk6aLLwRzUGJ
EKI0/eHBy/ISbkrDRcMpLz67BpsEM8mEfSj6TIPlTdGMvYbD2KPX3jED0S1F6Racl4zC4q1eDz6q
PCPSDjRN8m+ztGzvddTVyPQcVAC7gRLWRydxUZ7KGl3tgQ3a9OJ5Y/1FRS7R4XZl418SeGwMEyqk
n3xHyQfYotaVEpZ5W4yGfMQVhaLSqhVEKyty6GVkRpO97xPND4RJvwC+niE+K2JdvYpu8pNTNSf0
NbJcMrt6hZJzR+nA85lxFzRlKruFIGzGpxzbSbTTpBt9ILnnQEkZStouqZwX2IGc+97Txvjke1Jd
GM5Abd4soBpM3rIFWzgO+7yYTbweOuW5HXtCzK7+JK+m0EER3VAT0MgsAE4P4lIUX5kk0k/4E9xr
WjKAGZjGpjzyzHRa1XjJuO874OSHMSnD8GCE1ZOklH1JsIp9kgwaZSfLuIC8NO7gi+AitBXlKxSq
BxokmMYhccFCoZ5OrRgs1hQ9pvhfXiO/JrTb2Mk+j5jyrtoaq/LOTbwR4opsjc+WSurDqMcRqh8q
t/XEuXEQ+HgrE743SttdM2fp0bfi/MZK5/K2cp2FHKBFzt6XORNLXaXnA8lm8NNa88mn4cEOVoL9
kdLU/HnMmwIclDdF15Nfpp9rE+DaPObRvSoMcj5hod8n9EcARska8q6v63AITIOuQntqPmBlCCyd
blW6jfw8adtLk7A4jsXQeZgXToPHpgDa4GTNOUYr7vvOpyfZvhI1iFsKHu7lFJUwMhQEwicZW/Fp
RIIbH1onn2MqMzJ+dayazWIVYgCx3QIrmjVHZ3ZRYr7ofHXrgKhbqPUayNA+v2e+aK4iqGA08xqM
jK0LOsJuYMGdMDo/mIN2AdKeExVqUjdlth19Ed031fz4Jv3xZ6LorQl7Sar9K330Z/czn/WVva9u
UTNd8qg/ZhRq2yZ/WMg5aLwaSrHnUpsZK0e7hFVIESX3w/L1179IB8XVL+Iwx1XtUDb3XWdJpLxN
s3sWr9LC3Qkh3kjv6mHu3onYMQ5zabgXyUxDFJRI8eHXP/r33L6rkx92EWfwvg1rySG/ye2biVHN
oZuhV4+j/Ip9TXcbhQN1d53WHNRh1RmHQOdc0kfr6/df/r9U3L+6wH5523z6bV7NMH6ZiPuhKeP3
doHL3/+TkkAWzjCQT5Afcuh/unwiw9elW6Dj/WGQKCcBZ/vkdHSLBNmfWTjL/QNvK00GcX1Tw/kO
UJAQPmkk6CwtBmnZSQbbFbT68/8rSsKPKV+mQBJYS7pvVR7CtcauJ/GdU2wcgH3L/r9y/P817vJ7
bz5N30x6RyJmP3Y2vSqwdUzTc2w6428M5D+77NWXn7o4yIaxdI8wj1qYQM6sRw8RSadvv46wHyeS
vy5/lZL0izmDaIPuEemanO9qA+kcqqSUkzz5VNJBwsLHefbrH/vZzSz50TfPSvLuU7itaMkWOhbO
SytqySw63sdfj//jHPXXzaxmQ9dvdDg5mBMUPKtrwxhEcT/oqe5cTZQfKBhTfW+BZDX1+1//4E9u
yFtNhrWn13Bt+cE+993xoopVqPaCZGpy/PUPLAP9Nc//547WPn4vmQe9UxZGtUy6w4UzWaG5rzNp
xld2FqfmtaEyRSsT2WDL2+lYUJsz0pj976o7P7nBNSQhb+GjgN12g1arqdN3bGB3keVFr7++vVUX
z7/ub3mTb74IVAMys+VkL2e0vtl7Ju52y/iGJK2hv0oTDWh6AKxqVxWS/exI7rpClKuhvCr+VXP5
KU7gJ3foLYHx5grw2hV9btPNkQSYvbfa6ptrD/9dDe6v21tNOhUTAXuTzj6yKXQ/6NWEcbtX6c2v
n97PLn3587eXjpfLkRZg+sxKkq8UPKurUsOfvd82/GrqqbTBRvVv28e8c/snY0AMO4ZQ87aNvpp4
2nxI69ps7CNMwZnOK6OGYdGpwWRsvPzVZGOOkeFBJGayqbDB7icHai25DiL18Os7+MnUueahFCCJ
6b4GY6OAWRy+Rw3UqCerwdeHF4pq+R29bi3n/Nc/9rN3vZraTLDhZSWhQkPvc51bpPZx91R0nfZt
0/juaiaTno5Qf7S9YKZDw3GKBEll/H3s5389/vLF/8NE5i47vDffql9lIldQ14KKNGBxRrafngOU
9o3kAOxQ+Bt/ZjWfWIIN/FBrSIM7NJun0qlKmt+U+AmPddIN42+K3j95G2vNQoNcNbQQFge1mc0P
GV3pbmDi+A/bntVq1hgyGO4DW6jApJnEMZeta6Fkm6rmObM9uoL8+ld+dg/Ln795IzEg98xza3BR
uZjOtWLWb/zIaPPdtuGtH4evwmTSeTgOso7GhF6ZjuLFmav6Nwvjz65+NX0oZH9gqRwn6HPeAK2E
cAspDe7ktqtfTR4qoX1rPkFWErLPeAeTN2o7qU9Avrf9wCqeMx+eLGlM1EqUisrz2rDL4UjJbh5u
N/3A+pzmmpMlDdDogS/j5Mn1pLwdkwi72rbhV4FGA1zgSbrtBrUlOgo7IKKhPgDK0LeFmLNal+ES
NCQBWzcALkbmXhZmD/ZBCRoQ//oOlpnnH2YkZxVlU5RGejHwiptwqttDGlmue1toc+9cIO0vsuMY
mVP5Iafl8keF+Kr8zUz+sz2Pswo8egqELjYJpsLcy+sLZNGhy8Eh89k1et2QUn8vu3Tu0cM7dXGW
jXPkHhwxWNV9r3eO+s39/ySCnFWAkp3S6LehhUHhagqr2OAGnpv/Tt61ojT9Z+vjrALU7ruRXuSN
H1g6hszjbIToDDB9zuTAfcudbiJZVN/QSg8FVkyvtN+NCMTwnkLKSz94SFrtjZ/qKpa9MrXrakhw
NbmhpOo9+1/rcRyabfMoGpEf5lFltJjqU0xTUT16LzbLzzuJz2DbPGcvX++bWbqxIqrsmgvpFhdm
uleGBzUDlPAkf/MZ/CQM7FUgy6SZbHNsvaCbhtCkGXPb6p/H2iAkYjNGi1EmqsaoPjt19KUucPps
fG6rALeGMuctU6eE9FCgw21MSZ9iJcBl/DrAf/KB26sAn8WcNcppXWputnGkq290QHytHbaNvopi
hz45ZdqMc4BdoQvmEvS5g/rvN5PEz659FZzwSWINMvQcpCasL5MmjgfsCL/jfP1s9FVsciypFhrh
HJicG3d6bDyXEWb3bQ9mFW7wWEpBZncOkHJ312pC0XjMm5hmkdvGX62ccaq62mqnOdDCwj836ZJI
rylPBJtGF6totureRhjB6F0IrHawKOrC9Uq2XfsaFueVmEF6l9eqdWYMahCPqwMsdtsHL1ahnOLs
1IdwSQYbSQ7hli5MvS3ms18/mSVs/mG9/C6BfjMTlaEdz5Q8h2DQ7K+cC7P+DJdXXQYdFqeNd7AK
WSw0OGAzcv9Ue/Eid3hoDFFl287Lizrw7VzalexVhhnxQiVsZ2kPpA7pVG6cbsQqZI0OX4A3pyqI
5CKPywv3uh7zjZe+ilhW0pCCq9XRajsNjX1rm/RGicfsd4n2n8wIYhW0lJtlps3kYWAojRdZF3VX
CnrbxqBahSz5Ua0H6tedQdAf5L1FE8f8xsb/H2/7bqxV1GZG0jdRvzSEjtS8z2r7ZfIhQP76w//J
s7FWS7CdapnwPKq/OOMxnkpF+Xoh4W0bfRW0Fh2UzTD1ep689tKabMDoHhgetg2+WmMzSiP4B5w/
Lx2RpEkzIGfrpa+j1fZC5cVGf/QHksbmMjrU/62jr6I10/s6zCWjj6kf75UHZsVx6Fu97cmsopXO
AKDUTJ3Rhfm1SQSK0CTamHpay8qBYuZeEjG4PysUgAC0OBo547a9wVJEeTuNjZ3lhvkEusvuaOwx
0vsFkErYbVuirFWsFpCQysrS1bHs0Z3gvf+q0tnY9tTNVZzKue3oxDaoY5EhSHWE/aKhvN84+CpO
9dBurSnWuqOLYAyiTfJJKuRqm74XcxWmjfRHOLdKHVOHHi9OiipLtbRW3zb6Kk5dQEug6H0u3VfG
NWJc6zZ06XK9bfRVnAIfNkuqxyqYjRYA6EzbGPugdZont30z5ipUzWb0C1VHfTCJAi2JRr+LoB7M
7su261/FqpGEZgtgkpU1lPmFn0oDwVg6HbeNbv4YTqoNawshiQo63/popOadFNbdtqHXkSqnFL2i
1gVJrL1jenyZTHdjfm3NyfaTpHBB3tHTYIi9g4rthyqDMrLpwr97fd7u9TI0xb6nVKAl6N8RV165
ZqNv+9iNVZxSFh5qSePKY5mPr8lkPJt2cbntuldR6qEh0Vivp4BhZYfqRsbObpJWtG3qXXuc+shW
cSbaLgBfrn8QHfPATiazsW2n8d1n9uaxqyY39TysVFBULTDP0f2MZzDc+NhXQRrib3b7BEoGoMYJ
QVzNpWe/q7wug/zD4WARA7xdk7D3iqTWii6o2s6n0U5kXGPYr5+3vdZViJqd2YHJSvgcY2AP4Mg+
wHDe+EpXMTqLyqeTTKaC1gYrZnjjS95423Kw3zOAb96nGMQ4JBZja6l8EIpOA0Jeb3ok+molxe0R
Ar+ivbUe4nCndc1VMv+WA/6Tt6mvItSg+bU7a/RQdnT/hp5SL1475dumFn0Volg2emZznkkel3fV
wjgr4m0zub5aRUU9TNZI0vtYzT2MN/NS2NtWUH21gtaTDZ+55mznFDSErUbkYeG2Oqi+Cssk78ZY
KS66Lh7nHgqF+7TtC1mFZI61BMwAL1HE2ed29O+82dk2T+mreFRNn43T4HQBqmTjYZ46M8B3Lg/b
LnwVkVYZAiNM/C6QGrV+s8xOsKI/bBt7tbvN8kTauFc1WBbsbjXd+SR8a9vCJvxVTPJhNw26RzCC
iTPubDq3H3wfb8CWS8fF+OMU68ne7YTda8fGuW+rg4cSY9vAq4iMwdOLJp66QHmoLQZoANh6nIdt
g69icqBATnfMUAIuqk8DhrZDY6Xdpi+FHjQ/PhIs9DrUBQb3cqTUqv6SgGvf+FRWcQlDZNIbz5eY
Gqxbm7FH1W8dexWaxpC4NJqkH9VsWvqV8qL0AkCHs/GprKIzlqLP2c/yodhYTWBVPuZOvGmDhS32
xycO4F0MmU/kj9bUpXivQrj1JjugZNPUIvxVgNZDIWicQwxFov4E9vqZ4sPjpk9xLdbq6aLcOhbP
BYOQfYB+m+wA7bqb9hEkhH58Mm3cu+SjRy6czpiq0i/GHgPUtitfRWhauJAvYksGXmZd5wgO6X7p
mtue+FoAtcAXHV/1XaDX+R193vZpG2/apEBHWD0TWysnwCoyAB5p7gfYgHtDpN+2PZRVgE5UFKRX
dBIFgPMSyfEice37bUOv4nNsuzDzoKwEk5EPu7xyGxjA6TbpgvBW8VnZ4E979DUBJSS6/c4VZHQs
stsufRWg9GMCuGYMbVChT8GAp1rtUusBtWwbfhWeg2YxK8KjCcx+epXs4Ebpfd409FqB1LHwxLVT
ySBzovdjXZ/rRbHtO1yLj8DqZADIaTI990sHhCEyD1peftl23avgpAtAKNsxkwFc0n0mpneF97tt
5xInfz9VibXMaNDIB/c1xv4YFpvatXgurhunpqdjaqppv+36V0FqZyXs08pugzyxPuYxHsM6e9g2
9CpERySJueOGgAnMXp4Wo8nO6MW2Uh3gvR9nF8AmdN2xaNSA6vW56OGeC61+2nblqxiNgV1mLUCC
AJ+tGKA7qwkotZfjzNn2A6s4FXEUecqD3TaP2l1SmA9Js+0sLtxVjOaJ3XBgZuhw8u86nWZHlrOp
DPWdovH2mJ97E76XfqI1WFiYtGgxuzsjGpJNUlyQNT++UNPtdbsH0BWE+gy1tW0gd21UdAlnFabF
GGrdCD4yKHuo4nrvnjUYjrbNumuxUgeiSwmfR870eNnT8iW3x20xtJYp+QOtpVNQknT9irBHzdOl
34K02PQVrqVIPl+JPppZGxhVf2sZzVWrdxuvexWdbUJ1whm0JpCO9wyg/C7Pmk2HOLGWFoUgArKo
TtvAWbBVPirxXTMV3rb58DvE5U3SprPAOKSV31C3iZt9a2Z3SvO3bUHXcnpd55xV2rRBiRKrSHcD
iYqj0jVn24NZS5EAWCIbSyfihrbae085zvs80edtb3QtRaLFvRMihqOHi9+ae0OKd6yk26rnYi1D
UloJXnGs+FwqXG4Zc+2UScixPozETd+67fw4u6CfBSM70ugliuLB3Zckz3DpimZbHUGs5UZTppTX
FmEdeDBvm30/1MU3GnEAZ952/eLH6zdAT4nB12raZ020GYsceLAytredAuxVuAIFHj291+tA5Y65
1x2E3xan343Xbv547V2OiwR+bh1I4UagAmcz+5RNYxltHH+1mo5J64De4NmAlql2wE0fx9zYtubZ
6+XUrIYCpgHPHWDvaZK6PMPeHp82vdW13qi3APvWNDQK0tCen3WY+CfhelhRtw2/WlIt5knbnHit
tOhq5Bk4HDqf0aHHaTb+wGpZpRiXVWXd8+QtOZy3rfcYN/m23Dzskh8/G9zoJiLgtg5gUt2Dr74b
su5+24NZ7XqjcBqsPI+Appf+R7oy0jGcRpgbH8oqVBtS5p6mijqw2tT7iBN5PKms6Dd+MqtQ7XRt
BFpjVwGR6u8cpC87bdLc47YHY/74zOnwRo0eGGlg03F9B8ziIit/p2L6vgX9hwPNWmbUJCPyOs+s
gh4eE/j0osREDqJrzGjY6UfZqainAU+4zM8taWlO0MVxYz9gcXObW/J/sr33aUN0yqhLVqc0KwVt
TPKEZHwErwdU7izSpn0cGprv4PNvyuxTFcdas3fYWJoHwybXfnRrNapDbpAl2ztUqcdz1WheGpju
GIvzsErpwmiAT7I/aCh7JzpepdI9WO7ImP/L2bk1S4pqW/gXGaGgKK9qZq5c97qturwYXdXVoILi
DZRff0Z2xInY5enedcLXjmrThTCZTMYcn1M17NvEwCU8uRTgRGdNyOrLyWrafVtTmAe/zjFYht8n
4A6HS+YJt5cRDpDAS8w+OTWhhTVRhybntmBbKpY7EfVwZGQZPDiKcPDkA+DILreEjVdTT6O/hD3P
tjMMgGxc2jFG47uFBy9K2Epa0H2UgWd5aDmIE9lYg7Gg+3qMHgCZafhV0WiOLzD0Fq5I4DZ79T7Q
z2NngXGK4YQKCGUFiOAHFTV9eiwL2atf4FgDmyfP+wtHsS1PSPMoPUwSDk3PvfglxJ8GhI6BcVFv
4NnRh665rCC5HMz+9g31eo0XAJ1of2EAlKBkBY8IQfmxuLCXqdG42pAFK3ORTP+s4hZgyvrgoO8C
Pfg6sNkkeO9kqS4TV/dVEh2rbNJdiE8sZDURyl8XwvmaVwGHgz981g6OyS7Gj6EAQQs3jhdBYDO1
tsNfrBmPZax0F+Qb9ObaLg37y7It5hntX/AEobM+FofpLspLVodLByLOBWSs+DFG8o2+gmX+emyi
76I86ELWWmP7S5uJ5W3MBo+biA7Ih2OP32U1UVdHPqD4qEzoZD2RqQMpIQ2SdigP/cBe6jXrwVWB
nPsLLqr+cia+T4LpWMtF/Df9/D+OaGaBj+Cwpf1Fhhw6snlK4dpGeUP+OvbuuxlvkwFu/gsxYBtz
n+VpP1DcsWeEHNNixGQ36Z3pVBSuAglCCCO2JQVZFiDAgwkC2U17k7qq8QJbOO5oxgKKshsHyYWX
Y4Ozm/YAs25TUnc9OlGVumfUwtiRDSM7pu+P//aL/o+POzWdgJCpRyTrlvRedjT8hjPtdqwUTHbp
TbrqwesJ+SpKWStoXqCtpeGcHpz0u3MIAQSO17cA39RaFJMb4Ck/a31sze4lX9EYrcuKc/IFWDT6
U0Jt/tPrRR9TfsZ70VdCaNfIpjUXcAFscG3BICnCyrnkN3eH/9L4Fu+FX+gHrSqmsu7iVUTHj6at
LSxy0o6Y0k198BEdYc9BAA/6EllcywvBcRg9yyBJ+mNfP9otbDTSsnBpkH+6bZAZzMUaGFBoEMvV
+dDi2AvEGKxecWa5RaZqjqoHXQt4J2zDBrbKsR/YrW0fLiNaUgnQATSq4ebtGgAtmjYGc/vYD+yW
N5u8hgUufmBbYCsr/fIZ6v0fx56929PUrDd4KfnuYmC5VMAV8y/Yex598d3KFoOPpqmFdRNy27Mi
7T0h07ESwN89jv8RknQQhDd2FFpdYgvgWQDvRzSSvD82KLudeJZqFBGARpdqGbPTIgH30fDUPDZf
9joxl9YAL+CLXmr4TH/XjaM/xgDbzaF33wvFpiYGKqCLQE7XYOVasOoG8Rsvl9t8+4ej4l4nJlbc
M7Kx72DbSmCaf8Nkibp3xzaxvVTMtazObAt7XtpmvYBbczbcwywYcI5jA7NbpjFfe8q6UF/SpGuK
gWd3bRxtx5boXjI2gkksKl53Fx5L9ziNGrihubHv/vur317xnwZ+t0i5g/Wxi7C/Kx8PyJrDSfCT
CkFCPzEcjLpDORYcxX6tM8Ceo6rMPKqLH9PvOKg/6VR+/u9/wT9PHcp3IQwe37gaRDsWOgT7qoHX
5GJ/Ojoc8wagfDdAsOPuQGnt1IWbrEJ1Z8qumiXLoSVFYXb1i5K2Jw38pEe8PHClOONH4HfA8+FY
OKB7/Q4HKXJLJhQ7IjdHW9nVuPwFzrJr7KHDIjwAfn39zLrKII1QlwgonjITYfjao3nqUKxEAfrX
p2+sxoncAcorIgEb7CaMwmdCTLIcevt4L2yEi2eVMSrADF8oMIiYRc0t3sMfuTwyNWGK+esfoIN6
GkDWRsBMyIdlDt8LuP0fe/Ru5GFJMmfhiHdHyTcpQccDz2KJukMxh+61jR0iZNBCqnqK0rF6Dy99
86GTybEWO1i9/TosqgZOMySTuiUG2TujaXKZ6yQ7NOiU77I+g5JXWOnbgpUolfVD9g6+1vXBgdkd
5Ra4A4NKUyvIVuArBjdWM3z1ivf2N8//u1jxf+Mx3QvLGAxQVwYC6yVgSwLb4ijqlru6tcN4xkEM
Xvzw0mNTOSRq7R+DDaeCRwC5Bv0VPorxeWHEA2EVbDCm9QA1oOgYtO2L7hIg1vQwbHC4FbLy3/tq
q5dzZ7DnFrAIXX9QHccP1jTz/VYD+0Qr8B+4h0mFzGEMH/uPMkJ/y7v2ZiTxsQPCDcSiJY1ha63h
5y9DKD+fGyMDX+JfA3pMSdXbH0fmOqBBv84X6BoHcmtIBtI6ap4tb/kjqWEH+5sx/5cNZC+J64M2
6VEdbS9kDX8yMrzjkXg99ua7bQ9nzU0HzLUX6qGzVcCmkn76ndPFbc7901TZbXzLEmjhp7W9DAZm
Gtdx8sqVsKKVI7yDLRdXxpmShwpU8Ov79RtEA09YbGHyC2IlO8WtU2dvlPh0bJzIr0+XW7XgjEjb
i+3h5hxU/vPckN+N022w/2mcdlE4CsXfptbthaml/gBVdfySSbH+sTZR8Jvi4L/9xC4ahxVPBTHA
S08rbRlAfsM41LkFYtdfa4eOtt8cqv/lk+9Vc5AniMUyJU6intv2vCQr3KObQJ1q7YH0haL7WFUJ
Xqy/fhEhUTupgLK7sI4EELqxzwhEB3OqdLegAxiOoBDQtZcI13EzdeeZRu//+0z6ly+xF9GlFFpO
2NLyshVDOl+5mpJzn3Hc+zNhVXhIXUDT26//xxExwbNZXacBbDrg9Ided/EFqOZjra3w+v316dPG
h7rexuaSpiA9QnMNc3oZHTusgJ/369MB6MRRfInkpY6z+GwAwS0zXh86x9F0t5BDBgtklSp4Wdv6
PoRBdtyzg2O+W8YbDdXUz3i09/Gp4sNZ1+Ty3yfNv+wAew0d3Nz7GuAMkL5r8pAmwcPAjlXx4HD/
62hDVngzwgXI2jRuuAe+Zb4ECf1w6L33EroqSaXdKAjCbSSmkzFjnG9AQ5yPPX23SkPejlUSBvUl
rSfzANXr50Fsx8xh6V5DJwAjhT3/Ul/URtR54XN3Fw7qmBSV7mV0wbbi3lCP9aVumqE0MnsM0nE6
HRuX3fJcm3BYJtrzctZxvZ4JcZ8MACjHiop079QlwdYYVNzxsrPDc6v6SzP2xzbxvZRuA7dHaIFE
CoT7Gmz2Liy8Sn4Tef9lEe2VdBbqfI8OPyyiyfbwxB8Lw+AofGzMdxush0nPZIH2RNeShvm7ADwj
r8aOHxOk3dBvvwR0DnxDnLYJR6NV7wkwQtX40K8tAPCH3n+vpltYV3Vg/vBSO49rz3dQAfxmZHZ0
w/+1XqN7LV0MMgnMqYS8RBuA2g8haKFoMBIw2/wIp6T+UoOtTfN0sDo5MVTXXDHMbWJhYWnYBr4r
D4eTN5Egf+g0IfZSZbROD1Xg6Z7SqvhMPc2S6VSn63hOqhmmv0F77F6N7h1+qCMgALTzdKKA/kBl
MX9ES+X6m3H9l+m8N/hZQF6p4Gk1nTag7nOwSMYibQ/Gp5j8Ot2SdmEBHex08hoWDW7e/gpHeax/
iO5lN4E3eqgUXU4CivmSOymLkKB969BM3ksmPKTPVQ3aLYQ15Puk6QctybGWSrpXTEiNE3tv4uVU
h2OYr4ZUp6qCdObQm+8loWswRDCBmW/lpHEWgCKG2XKSgBF15bEf2GWFXV3PLItkWq5gb2C33Bog
xmXCIvrj2A/sdp5xbhcP+OxyWoCBPuksdqXh8aFrD7rXhOL8kFBDNRCJNxM6lwywDYjTQ2J/wJh+
nfAmtaDFAml/siAVA2gUDyAJgnR4bFx2qWEsgSqrl245kSYyBQWrKEfF9vuxh++2nr7NgHKiFbCZ
RIJwGQToJlzj8FiStVeECgifwzig86mHzCvv21E8q5TOb4fefe9AB5SioREb5lPAcQUXt16c6i05
NjB7A7p6dFEPVcB8gqMpee1Am/7OQp8ey8n3alCfSDfMC0Jk1zFgNtsF9kRx9TsLnn85Ju5dvlTU
DqTtaXZmlUrsqwT/Up83RtR4jkeDXfDQ+O/FVJWlVRw1CGgJyYLSkkQU3bocE1NReqsS/Mcp1Mgq
nWeGpwvR1WUGJVXB++3PY6++C2Ztgy8APeN4MqvZiloPTTnp6lis2YupuInDWSfJeLLtYgFxykgO
h2F/LNjs+TGbxnHDj248zdKrczS1n3zUJAc/6S6Sealj36PWczKZBIZcrU0BSeox2T9u9X/9pF26
pXOaVeYU6GAsQDHscmq2Y85N6ID+9elVHCtgfJg51fMgC58Aj5rBWv7Y9rfXgC3RhpLzKLIziG3+
ow/N+taA5Xhs996rwCrqXLRArHxKxgj9KLcYb0j0uxrhbQf9hxrh3vALhBuUqzfOz3GA0rkNfvSq
+3hoIe3VXy14ThUAF+kZPl+Vyq2HwG+W6/Tl2ON36zRSPe19OPJzYnQHDWsDMt8ji1SXHVure7sv
M2ULEifDz3wC75WTexUe3Pz24i8YcQ3zRvBoDa60v+khumOCRLpXfgGgUFcyHfjZ36yPWhfFRSwz
dyzhILtl2oRKzn7r4xIuXHfdaF5DdsxNkO5lX2ECURHVOi4Z5A9NFzzGXf3u0FT5P5Iv2AjJkXZx
SRhAbJfYKPRdS6eXT8eev6sZdyYC0XLp03MMxC48zuMpvr+16v3OT/BWePqHRbrXc4FVZ+LMVeys
TTDdzZW1+nlKQyFO6FNNq6vQ3smn2Vf/j8P136eDf/rR3SabbqTqbDMonBRW161FpGpFzAksRB+q
s6zWVuVDr8GTyTs6YG9fm23s0muvDJP6jIN10+pc+dZuV1ltQfUHpQ6yuy6EpLXNabN553IceMzw
2LIoM092qlzErmsQp0Obj16JoM5Dymsq8nFODQ5FPcOnyxM+9OIPM0q9RHncprW+Ut/C7rnccKBP
RbkN1o3ggdNm/QALOWfrPGnB4IHN91av4O9FfAlYnIMWT4b2LjItgze9Rs1y1jn6CtSCF5zSvvtk
iEbu2KRN9pc2Gv95XIbYlgxyX5ovGKG2sNaR+uI3oEFHnJfp1P3Ro2ibLvk6RmHk8iRjQn7t6rjl
P7RYQOJBI6fvgY2H21ezfbmJ9O6M19sKVCWsCwvn6ilqyxSNk9XJ48qGnAJSrVNRZZhpvLDMbYku
ifVJ+BBllvFznSxeoy9s6Lc72Ph3RcqMZU9NuNRZGdbU0UKmbEAWlumszDQMcPMVFOyhg36z6aUo
Z44jVlqgQrKKHm82dGOag4eZom/E1pcqTpE2IpYwDT4kWhNknY8ZMrucR4HS5aI78m2YNSvd5lfA
X2u/gcM89kn77EeSsTc5kDR9pnNF6aOvZAbqvfLoUYnP3C0RHBE8A1P3CR0aGb6XqWuDlxOh52I5
h3A1Rjamw963dxujq/s+ZLruRdFbFIOvKTqQ+MdoTddpK1QXgyQmMiDKpxvgsnMBulg8RFtw0EkX
u5w2fEtgY4GO5p5cWdtlMm9Zy8+slV3Rs9XpEQfYLZjsLbO000O4TO3JjYhRz6wXS/NxXYn4G5jb
k+XcAHwNmrqQMYFLrNxUiRqHzL5mM+36B756FIFkEi7rmDszo5if8yxJCTKoeQYQsOAJpc27qM1G
dobBSrs+dOCbo6odzvBW87hmnq1A7xb4uCDBaslgshaq5TtRAXpmRpvG5kOa6CgrZTUlzXfUQTKF
RaPj3pZTk/TTc7uEgn2EPGvQ52ZL0SbE+7BP7n0SkPYxkq71f9ad6hd0zIxBHz8PWLTy1Bm5kavR
UTN8loHOQoLw1gqW5KmOuXkO57mNvsdNVWVbXgmuxcU5a5P7cKzj/kvjGOCl8LwP0Y0uHI04rJ0T
pn5UsxOtyNuhzb4nlA3mM7rLAanE7RL2LrRK9NsTVH1Thv+5D+IffTNaf9XEbNvH1odRVBiJlfSj
iTHN70RL/PPMQ3EOyZA1L9m4pOwUZrWR74dWrv7VoUeCBLiJhm9AVt6ciG8cxbnr/mpxcyMfGjbQ
7dL3jaouAwFA/mEZeEqKJqYx+ZoxEvM/I9dWz2ghD+5xjeR/oDtE541LRClgEBSAZeozdw/Ig/V3
MA+iX8ALjXlpFDod36WbVN1zJIBLv7q+XkDKHWSz3vFtDNklZWsbfg4ZqNvv5cCFKcw2B/BEbEI+
oQ9FM4D8rJ+S8WkK/RxeqWFGfQJZo+pfloSn8hzKtk/LeW0sYqdLslGeoZ+OxqeBW/ZDwROgKypU
adyLXMMRoUT2qzuxpJ/B1g5xW2Uf2gYGx+dKLAYdKkFqxUcJrHp81cYYls9VMLLvUvLGFKKb2rnJ
sy6qQsCBYrpeJ/A553J2JAzKeepIlHfKO/OVzhxvUCahiGBnuOIt6kBMgC6vwdSdupslD8i5CN/P
g0Nj2ikxo/tGgAtn4J+JDr6cQEGwJ6RL4meFJZwWjZJEF0y7pP+8DeAzwuAI4ON6AsLd+/rqZnTJ
ftzApxurXA5zuiLee+P6Pm9mbNMuR8XbTj/cYmnyBkbGiA2hhVsNf6/wlNuHNPMyngBxxE3nqQMH
N8nR+9klF8UjoJatFVRtuYjmzD+4dRKoYK5AP/G7sNqQI6KTTcrrBAwaiLhjXQcfAAkeSSljtgTl
FNqIl+nmffM2hp42d3b2jl8W3QdVOThSbY8UdK3XMJqa+gOqyGRr81qpmZ/hGi/me97iBPO8oQqR
neO2xn43V1UyQOcdy/VRi7Bpi96P0VzEZkwD9C2MU1U7dM/5KXo/h61GM0YXz/NrvYYpuetxZdw8
93C6q4fcbjEIN/AVzwc38ugaUT7NL8k0BN0fpF4z9cgUnTDHOqmV/JOqzGMmaFi2TadeZLU94y9b
m1Oi23j6xForq/tJ1A29oomWqadlJIBinRCOFCvBMqLVTw+rZHiaT7JJ7qa+FgLaZjQxYY5k8FG6
l828mTvTaArNMIGGODxNBtTD3M5bRz7gN7M3G8l5/aZgGo+edE5kHxcD7BdFESA+VcVamfVDQ9hM
7zIwgrM86TqIVbUdgSbfzDKD+Tb2gKObwKZRgQuFTL7idZPkZXWbqO+CjsS4OaqrNlg+au377h7S
XemRFXV+/YFdY+qAfa7DMHp3u6mhYUHlkPonH/JYA+at/VZdswafHkazDESwR4eAPLyAfjGN13CW
fL5bZ8ZB/kUwkPAEEBjGacpnjlUewq9O+EUUQ+227R3lq+I5SGMZO6exRnzLW+qa8SWco2z4w4+T
AY1czXZNrltMw/U5xuyXX5ppBSMGfyTtq5cWpXH3PmsxiPeeNONadnRJ5jvs/4ERGFyi7cn5NHUC
ydMMpi9Dkc6erWsD/SmNtlm/WoyZvR8aKPBeGlvLuogb2U9fVpOS5Ksm6ZbpHA5hYWcwUlSJPzt4
poavcK2P+R89nFfab4MaWoLzFQwRaaEb0qR3Op2nDfmbDDPW50OwbNgK1YrtA9keLGNZkNi0nGDS
0G+QjabBd7jKb3ERYlNvrn4Z2o/pgvl9akOnWFGvHvcvOu3izwmBLqKgW1Y1Bc6icQpkYZ8uF6LS
hNmcriG4zEYOEi3HEew7z4Y3qn+i2rhA5QwdWH80/TCv5ySqY/sSdeEI/13cs/KPcXbjclsFUs7r
QCT9ApA2rBGnuEIpIKuDmT1vnanSczg2jrzg/ol271WbTv4harqhR8CMsTYgi4dQLbu0MFEdnyqt
uFmLLI7F6wblS1CsrNb2/eTdgIZo9L0SV8DGsGqLlEe1eWkn1JhyqYUaTnRDX606o0UtOmUV7bpy
DCuCL1FLFT3Fi7mRXNl0S34yqH1BxeaZTUiplyGMlrz16/a5yRRck3Kv0fj30aC5jb6JifWPY7cg
4yqkaIIiauAKtxWI7jZPHaPzZ7LA9uBOMGew36driDSdooHXzPlG42C+1niF8N3Sd3NakIQNZbvJ
pbu0K5b61yQcnT2TtFWAc9MRlmdRXNOspApKzHyikT9zbEZuzsekaqbnBdIp3hWa6VQ9tlO1vWTb
DYDqR08fpixrw1MGgs2KbRQpRzn6GGHfKUC9ry3rkvnjoqrIvu/GJSpQlh7It01VzhaVk/Ed0jVg
LVt00fS4dcvHtZF3cjYw1ojRV43Nlhbez9zkPWBIrJzHkNwJ5AOfnU7pg4CVElD2vBmmQkaECXi2
GpL3fdyw+8yJ7c8Y3T/NE8HS0RffTJ4/DQEZX0MHi1ccgej8KFhGPHKnKB5fbWCgJJ/XtGBoI39C
CR3N2qCLUriRo5P3aRsz8ql3gTi1pGFtrvU6P9hW8Rfh4KBftpjGRbIuriCyqu/iOOaPCxPbvYhW
9W0TtvnAqRqLOmTvVDLqT0nDO56L0EyQnSyqbYd8DWvuplwg293OG/Bu2x2zRLyxaDX3c7NlvMR0
ZoX2i1/P3dgk9xvki/EnF2TpB6EcVAslmbs0uKt0ap3KK8zcDG3ymwz/rOdqmz8lCWNbbmu9ZpBy
RtZtZX3zA7iqbfWwTcnGaDMg6w7DRHCOqWnflILZKLi3UYyGZrRPu/B+lFHFn6dgneazRZ9/+OaZ
Avmeb7GdH5bYJOIbMlc9nJKZBOTO1KaOH5vVKtBYRWdV7iIzZm90USZ8GehCzQk2DVsHS4KJyWsf
WK6+BhIs4aZItjqpy3Bq5JwvSY1UlM9LWhejQo7i8ooGlKp8S7al/rFmCR0e7dpb/x1QKod0SM5Z
gtmtsLYSkzdoGGpOcNGpyGXMVN28WyOc/U99F1N9nlPEnRInGpFeh5v87jSkmtAXNNU0yQP0szQq
I74m/BqhbWr9q0Z/gH5ZpjkzYbFxYeX9NEw0ZDkMRTLcSPmGqO0djsYpwSkYkk3/ME1qQlyQXeqi
J6OxJD+0OKy6r23S8msM3jYOyNqlX6OJtsE3jTstHJPXPgGlEEVoWWB2IFnKq8Uiuk/jspZWizH7
zNDTP79lDrH9yzQNnDRlkg4B9quqSwL7gTnfrCIPCElpPs/VqAteUUWeJ5+t218x2v3Vn2ONbrZT
1gD1935TcuUwHEj68RWM56RdT52Fu+uF1wHpXxlWGSJiSMchQ3iSa4pioezQvn/X0FC6O9rKNtRl
7EekALlijAnYwPc4fyDja4Zis+aWiwDjMrt3zTyOwl14K9rxTU1Bb899E8z8Ok18SfDFPHdjORC1
2m8tT9CLxGTLp2+zawd7NiLUQcHbJXqoB1GxYsDd4/y4NU0s8EnSGs2AE6rsxWjsgKR0YLCTeVs8
XHJhBDBUj70gw8VVa/Z+oGSbkR0k3puXTSmVj+Bp5mgKEwsFXyxr+vPmsmQrBBCky9XTCQc0yZc0
n2bXByafl9lN79LIpfIvC7RJdvJtGMqSudu+mosJjIm7Cmn2Yw1rLsw6Gml6XzVgmj4YsfWfeYZB
KOk8x5HKwxq3zG+T8k2ALHULg8vqMa8vyAOi9H7GFtD84RytLzgCRPxrD4vzVBYJF2H93thESlhC
R5rVS45JltAiQ1TdcJoL0DjnUxnVz1njQl+MWPCf2ijRJ1XVrMNSq5b7PkQF4wn1Cpq8Zt3K2ntn
R/4dlZgvSD1mwoBUYZCA92DEkPcdEdU3+Fk0dSk0gmLdjO3TPIfIzDwMRtxVpZksjN8AHIGCPryr
05Gqp2Gmk3oaq2V6WIzpmz9AcJ5/BkM7TeW6BPiM8Zq+tUt8u9xpM+zta+zeGHKJuRR+QK4OXdO8
5sql+oxmZc7yxjiB3ACyBQvYXbaiXotIOKG+MzfPDoJ+IBKzW6UHjd/jW4tkLCcJFOhXlNL59EiH
bAheaQoRH0RBaSfs1TIhZoWPsmzhhI7uqqlPa0izJj01GavfiQFs+FOERoHhr9WS1haBROXqG+wO
QJAdk2yKT50kG8HUrMmHscZ55LJ1zZSTBgHU5HYZQbETZJE/skRP5I26Rdpi01OE004aK7vmjc1U
8LWuo+p7dktN7rIVXeafNmZ+zq2aY6S7fIiQzOq4Xe44mCBZwdmof/YJlmyeAdlRAAsSxifF4+zv
4l9LPQZhy07wt6xiHGUAVT+vJHXpFyMCjv7jmleoDAZcwxlpMrDiKJGUaHefsL7/odRKI8S5WDbd
G5zaeFOQUTp618zx9ieOzsI/jIpUP7VUnicAdG+WPGrp4uFTUIUs+RkBmZH8iaOlRGWkEckj78cW
sSOUW0FENLjXkVepQasR7pZiwUT4WgeMoZqN1CN8SBwMRc/cjoyU6+xDerLMTjZXelk/wBM5ij+b
kdt3QRBPn7MqjT7hun32l75Cv8Vd0ONgvCq92hOLMxj6+saazxjz9qGLWsjaWANCNjxO4v7aS86H
IjGddrkJqvYLOnXXfEjQJ2NM7NjDuJrgNWVufWLcy+zcV7AYOalkWy8DsBKXyKjwGoNjjJjX0elN
cpFsL0b06B62Fn4/eTIs1fzBLbB4/QYPDhzOps3F8gtKwzTNmd0wDsQ1DcICpxHtkXGk6D/OwvmT
XBmSRIpSghDIMpokgD1s6oNyhAw+OSWZQN3EgX8OTkk6+vpCTGjeYL/etO9J1qMJfAWB4X2NF8lp
bSOzFAjb2+zyEbUx+mJamcYFNXidT31fuf7cDFUjCxKnxn2/aV2vfae0fljT1Cv8RhtM79soduqF
itQhYdtqes4yE/R3kFCm7h1K0d0JYaLrzmOSNFNJpFUR5HIgt556FyKIwAfmHt8C5YjKJL3BcdtB
tGy3bX4/BbKxRZcskboPAqv9BfZj/s8gATYpV0BDPgjfr1g+VYbhaF14anm8FMMwu3vaR0g4Zd09
bEYm76FeHtAhAH9H1Dlg1EDjtPoSeMjJzxk6ZLZPqDOtFhvRFEZ/ztkoSAoGTutRHpjUYrprhxuK
+pv0w6QLfCk0vGetRGaOiKmsLuRQGfiXw7yIP8EiLUsL7phZrmsfD8DVg5sNdmllWVbnQQLbw7Pj
9LYIg8YKAbrigBMTgk9bNn7i7jqjKYPnpF9nhWWM+66fC/bO6mrGORSlhaN2CCWmJnH01sfI0Err
+CiLNLYMvT4z29q3msHppQzhN19/UShoxLnuFik/hatH9BBBwKJ7lkY6KTQnipQ9qmG26DuL0laO
vrxVlA36uMKX2Axj9g5AkNrmG1ygzWnZqqTPN+JjZDDcRPOPYARVIU/Q6sHfgWVj04vcjEt/MPxR
7vOEBJU9JlOk0iJWaUtelXAhTJMNDgWynrR+v6GBvz2TZgr1lidotrcoYMrOCxzUZ5QcMKlXJIXg
mlcDYNR8qp5kH9b+GsXh2j1xgzptzgx18Es3cvwZJrSWz8RXHaQgVdh2d0tmA/KKFrWUYU2N1Dvc
/3SbOYPf6MYzxEVGF7hVSZbvndNTAECin7NroFBO+RIqfftCDAefMhq5adD3hwOYfl5QP2wL9FfM
05LDcyj6H+7OZMluI0vTr1KmdUHlcMAxtFXmAsAdYx7IILmBBRlBzIBjHp6+vytldkq0UmaXrHvR
bdKCZMSdcB3u5/zTkVfCkYrmUg1GfczQWUxfZ7n6fRQ7TjwcZvbrOeqU1sWutCyvjSQTaYYiaLtq
Tfd0g6V/FdvEryG+LC/jwZiW1kR5mvnLOR6E64X4RBJfRSQxCG6oLK7gs6FCm+TsTIu1UbMM2j4C
EjSw9S21XQAOaxYB3rwtj1qWQbm3l9Fs391MFaVB72DagxUkFiEm33VRlfi5ChiygcO0ok60Q6Ps
/IMjtVyXU2F6lveRzOhquJ5p7RfNB8/s3KYGWazmTrlZubwYfBrfCFJzsJpxf0mzpiGdvG2yb8dL
B30VG02xUHyhlyVgao2T5G6tzJ5mpRsthxvcLsCs3BCuRdGtir7y62/ZSneNnGp1K/HeDZPRUgy4
ioapGbDbTkyrabpz7zejd6fYPBJKRS/f3ooUNuJLns9NsbcTuzZmrq62aoYlO132YFPucy9L37XV
XlMate+pttXsBYPpk9Y8u/boPZvgcxnjX8D/h69+Z4/FR22MjXHfJBA+D9OlUSWxYPVKGbpTS64x
tjndlae0gvdikdja2ncujY+zY47i2F5hSk3UHG5wSA2dbta5mRsJ5Qze1axhkq6prj3nmrLI7p/q
Mi+6s5tYc3MyRoaZf7GEiEXoXGq2/dhUxhiUrpyN60YQ8PRgjP2YsccRQx/6VMb1bh0rr7vN+gGj
S6WEOz1vJSqy0BM9JE9mlTURM11iDN88p9fxszX3bP418w3yaTsbG/O1KVnJNSxPs06slXqKGdSh
6S7DeFyb2reOHSj7fCgLZxMfQRWVOmcFTGCoRYUAYId1U3RexNrcwLYuiJqxbzspx9ByqtwIuOdu
HN2vNlyjIh5jL0yk1e0+M0z4HqeG4lmDkhFrXrC2i1ZRl7rKPg7L6G9HbS+GqIl0k/Pog+klzEpr
Rt/Mr5XZ9f1H1ZOq/u4m9lhdU9hm7r5U6eg/zTPUTFQmXp7gTkScep/VdelcxUlZF0+zx4W5WqVX
9GcxMlLnZuK9SkaOr5u6z0e3Ss5L3vnFBxq9LJ5CMVItt1HeeBWwtU1GWybCkZtZGyHZH86qI3hA
1/P3BdLgS4Sx+5kEQ9Gboe8TgFntKqigfjxRgHVc2MHNdXfPOV0DPCPGgUqjdvPXJ4vLjrnKV2mx
fYA9iZf9xJ2897fNvaaJdowracQ+hZ0jSK+TFxrPkweRO44+FLnbquutbDC5mnJths9zNvqEVhQj
0SH7IdHLmgbm7CgXjlMiuhJt702hA7DRf6kmIuvvG2IXerm/RL2aYBqLYvq6123+lId+Nc9FtFbd
ZaLc0Du3qovt+mRjLp+Pba1HK0qmVdfXsienBohUwLc2a+eO+wwQ3wyM3jSNPRzlkEWll/i0nbrt
NRWSVWXW6+Iy5v0q3pJ8eSSSwR7A3tO4296sWlnJV100ojwJC6vjSYD6tjcYtLvhuSSSmtqmVvZy
bdpGv35fW5Xr63VNjB6Ab5FeuPmUIwH48gi3kvU9Yr92sG9GUfVzOKwMDj11vIU8GjcpixBtvANn
btsXRePk7X3EpLflxGTgD2Iukv6mGzazPruMvdsu37Yb43Xwh5XR7b1r51+B+QwrypVn6J6wVvqZ
sK9Z7dWOyrrggGQjvbT5c6fnO9/oJitcDcPsuFm8tsMuodXlCvoauIpKolP+Xe9OpYGzO3Ozt/Fy
Pr65I0514g1UcmobfzUDwX5XPlldJwfuvURV7RBor8foD8TEoCg3FZmILKkM5DVW0sa3MnWHec82
ShbiVNbZ9D7ki16um82t1Eu3jI5N89Lm43ld3W158dxKT3eXDEfr2FdjHFSE3bQB1WhyAcv1MnHm
QmDee+vqu+c+xWlwC1FSkcFAbbwBbbUFqJVicKWthleMq60XYCyS825xdAFq17XpIzIJk4poYijz
Y46ykXORGRtkN/qTF/sfXS18xL21gM+aDnXctc0QZPj97KDx0BFYIdx3N74DJCWAtwA2YngFrdgy
I3AGytc8UOyyAxhi2eD2CAipp+/cL9hDGQ5UL7aTfsZhvY5dMM4MsWkP1TSoLA/nlvxw6lDhLMqM
OitFyhH9e98NxPMayjvAVFlDKFAE9YHhDW0cEpRsfbB4tHE1zWmiT356wX4T2u9FX/ZMO75rZN/t
QAu2EV2rERunf4/HRSxrb5dHgrqXJRJO3ozBtqbqDsKqHiMnxvz95xRMPw6fc1a7rpq6L3fC/5Tb
z8705/TMv7hUfqNJVaU1QdfwvFb26AFaZOpPWmh+HDrXEHjox5nr7jkmBSCSP4mbnt26/xce3j8I
rIIy+L06EihMDijSYCYM7r82bbLhqpqNhhjBvtMATnLKGQvg+q28X3qgWxqs3BBhYyx8T/9cQnVR
Ff1XaqMfhGUJFM2SGZ27b5hmWkYZPoIbxINtSL0G/QgX553++Sv9kZjqBy1o1/YsNTTFewIBWvdp
WJt4jHRCnRvNnEykk5JIUlKVLmv9L67wH4gsf0wnytGHcZpItXc8ZnIMxM7sWrDmf/GB/ujZf1Cf
aSb69W7qK5Qj1deiMz/Ono7/nPhUXC7ib1Y1ZXpb6SRW+5WxH0HaradsLK0/+eQ/KMwG0xzqZnTU
Hgx6B5GaBbEJ8vjPv+Y/uio/yEPjZcoG5WfOPhFGz5k+xYGZcvr/uWe/vOpvrosstIU6iOsit4ps
3sFnyuTWPP3zJ/+DFSqs3z+505nVrJec5ZK6vnzrwZTmUDirZK6QJysd6BE19hFfidJ/ajyf9WMi
TOols0uMkNozDlW92G3X3+Ym8Oo//0C/bK7/xd39Yx6Mm68WsFBi7yvPT0Gg/XqdIVf47301B+ej
TeXNv9S2WTuHTOfP+ZY9m6w0dYz7bEzpVZJ0x3TGt2WyGN0cDC4l2a/v7j++Lf8jeW/uf30f/V//
k79/azTNfpIOP/z1r89Nxf//eXnM//qd3z/ir4f35va1eu9//KXfPYbn/dvrRq/D6+/+sqMuH9aH
8b1bH9/7sRx+eX7e4eU3/3d/+G/vvzzL86rf//LT61uV1RFNT5d9G376249Ob3/5iezBi+r6P377
Cn/78eUj/OWnm9f0tXvt06F7/S8e9/7aD3/5yRM/+0L6QiA+wPDjemzN8/vlJ6782VGmiaYBBaMP
TMFr1Uw+Tf/yk5Q/C8k/eJ4lSaKxL6bYvhkvPzLVz46plI8CSkrHovv56e/v73ff0T++s3+rx+q+
yeqh59FCyd8dGTw3dn3bNdHJeQ45oj8mHzAiyFvg75bdOmBgOToXHm6ZLkK5LbW/JwVZfOFQub4V
Lf60dYGXTC2KoESYV77hGhlTxnIvKOpeNZ8q1C/+7TSKy2/UvfxmtY4pomyzTu5i07dT/BI9UbpJ
l5IRnJf6QaHweTFslSVPYkVn8UBmS9nDKpBUERIbN0/gqE5MH1XOXQcMon2acrKqC6BSdDnQ0hKs
1pcVyqSVGAc3bFSd3NdDYn4nr9qGViMBPWyL0T+1RWs8yiI15O1YbFMVIdyzIQwzsy3uLvX1NWZy
9KWqBP43624+Q2wgeOtUM8W3MYntgG4eSCPCD/mJnng1D7MhljFoXXkp+WK60wU2Gvp86ez82p4s
sw9rr0+rUBZL0kXN1NtkvSV5iuQBznvfsSJExO7kbuE85Vl+B7coSOpY5AcHnvHaENaa7Dd6r/Jo
sNMUZzDoEenBRUkQOK4Nr7ACJPdIiD37QQ5msdJu2yNAo0qjIfcSZJOJvHMJQrg2Oy+FDk30Z2ag
flP0JnlAGEwz0pNcnL6Q00PAseIFvl1mLzwbZ8CUdPcxnUBzUqWmLt8Qp+GBEon9WJCCkNzUSTzH
IUEpqJ9Qpln9qV43Y9nPjdNATTpCbTc2kLRxTlxTO6GYN9s40qrkL523zeOBweDxdBN3y+qHKst6
GXmc+Pf1sphzCHrY19cA4Aif4YyHOmgmbR7VgDgo7NcMSlXYRaqviqUi7pJwrpG59/VcH+XiDUME
iC6bXbJJ/jwwSmFFBpFm8X4tiokmcW36dQcNLc1dirlZBja973NPJHx5zBfL/qppAD9UwI2hk3Td
W9PH5nJm1cG6iipeYay6YVgiZTZovzoxnpKyHygFN3frQmEQr0KBHzvnPBfWV+2b43JMTXROu3RJ
+imCxeUbW0nlOgNf6inIyAW4ZrtKH7rMvXfrwvnQ94S6hkPcGqeEEA7UD7Mrgh5a+8Wrc/PRGNP+
y+avzpWviuPUSPph5A2efIo7+EFck9nA+KgucZ3AFEXThqPQ61NWW9sb9tntZrroRkL0fal5142J
i1KhKei0ZL3p6biJpLrxc78bjovdEP8s8qn6PBhbe+fnrmgjIFFgjZjwhyYkqMJ+blcAtEDIiiES
nuHhVCyKWl3bA4Fg1IuQ5WB+RmJejbRrS9AnlX3TaRP97Jw2a4nAvcq+oN6Sy47OmdVuJgZIkwaH
iZo2BbP0RPzR2BCcbi4y8mpp6jcQFiAwQP99EtvLiz9x27V97rkHE3T181om3Df6oshLmGUW2nbV
XNWinJ57BqWkQbmW7AUlOGtm29Z9BwPdBYx+zY/j1FQ70rCRNpDNL6tjS/DkB7Mq+ivIm+SLKmTq
77aBnJGHYsmwZLpWOsUHkPt5P8ok/Qpt1K5BjmVtChDgjiyPsn3OwINOy+baGTB3DQWYOjPhJ7Hr
lG9apd3ZAk2xQijr7eNoJvW3dmomH5mUtSQHilZPR1XhJqFbztPOnpL5Fgm7QWKxtPJgSppyftLk
CP2ixl7sCBEt0aSdX7VA/zLW5wkd7HhYVroaKjCh86iwbKcIt5i1GjKDqH8hVtm9qyfZhL6bGV/Q
4Lr1By/vDRHNhFOjCyp8EQHmkifncgx63ypjtcDoNusAFMjyTF9opsXXYSwRUskm39lZ0e39MW2j
tPccgy28sqLGzHhJItfao2NDyFDmkHsYoZYecIOsfv3cLKNlMxtSb7vJbuPHajXEc7IWXFFHzu60
q5GVzbvSzvMHMcYuaJmQE+osEELjykal9+pMcBzHhEz24sa24i30ErYccGur2mkJYkYaXjfex1mR
gPayzUVTspgD+0VGuh/DGliJiAzBVqCe5w/+urUb+5WZxUHPlc9IRLCdh3IBbAvLta7aEH+x1pGz
TrwRqVLIN8ZOcABsLuB8qkGaw9SggjhlnmRYr19lzq5mN/NBVbPlqhgycWQxb8ZprM3ktCyNzkJY
Fr8/SoOZFvuhVf4RaDh7cxa/fanHrnkwpiFDOdhm27eCYZ1d0LgKq8GSj14T8RJDFU5jDndS20Vx
7FXpIxyAkcMi4GzSDjwQkfu4lmMAglXl932xrRQInWW9EjHPQefVtX5eG6+/aQRsYeQUzDYEsGdr
9Zke4weTm1S3i9Nkj5aXTh/ntfHPxZr4Fl2ysT3mlcBUlXhAjTeFv63P0yY88sfyguMIXUSrj4sz
eu/ubK/HykrMW+RkUE6NMTdlgIthboMauIQJx5PrBWa2pPGdvebLerTHXPv3q+dMU2BAId0YVud/
dtSqHnJJRI+VZwstR/U4Vn6GdnAb0iiuzYysNZi1OJmMY56VIvDG5WuuS1A6zZ4pRV9YX4A+vTJM
5Oa9DNlofe81fVFqL81rYWyQlg0zr09iwarOHgMWR7Dz02rnI5jaCLa8ErcYTovMHo22ds9m6wp5
mKzaQbTopFFZ5l2A8SfJwhbzQDBuiV8GTF2GTWgVMc5uDAjfbnEXiEQ6j3ZpVMUXCJbk2pmKOXSa
dDsulQD71j4BfKmeLTO8CNEOedLAZXimHBiWksxXRjonCD6dedjVbra6OzPP3NupNbpvU2knbzDd
6ee0X58Nk4MV9UJiZ1AaXbPPFm1HWCjERunhonTt2Is6Kq9NTie7HpyvrZFqQURXKdGT5fnJtFd1
kF3sPdi0eyC9mflcOpb+osy0b26ZpDZ9dzy3nqkNClndOUPalVGaz4azV3IrwDDARHdYgRrz2NjF
8jWRif82Y3CbPkJS19nBaczmrVWW6B7mGJvMxdDv+me7gsK6znyTy5igFFwDmxiENyspEX/6NlT0
KRaljVSecg5awWwq/1zX1vTUCoiqKEOq+zT7fWOdmsWptkdUUI/Af0VzVh0TDgPLn9eH1bUIxLG2
9MYEhDlmiulPYbp0AzO4OLIGAq01xGy6NKFsY24TCnG041uXniov8c51bmTH2J+tO2ET1QtMOje7
YVnGEGlBufMFA4iCghrkrbOt5YOq3XTHMAAZueiZqKIb76Nh1PGKD0B4w8mDuahf1xpV5YGN1n9e
s9x+G5Fa6iCxu/oO7Uv7cVxQ9uYWKvizVazldS8btwwxCJgvUkAqO9Rqt/2gkoNfTgmGxapzqoOq
HBvoTy5WsKxat2QmaPsbB2QZcWR5BeMPDOtliPtX2bVxGqIFLAFO6fdhFdv2xcyUNnCPpS46Sky/
c2hka/2xTcbkGWbOI8XWQTYnqBef5rZclMdKbuWnDSVJ6Ldw4t8GxgExwtNmN44R51CTv5rL5oTj
mj7lhTRPhrTY+YdFWf65JRzWOYrNnLbrwiyLdV+VKG9vs2aycPDMhpsHhj1a2VHq3tn2/Kly2fPc
iewTs/aSfdaOet8TwbNcjZs3PKP8q1VIiqR8ynLkRhHC9gTBf6Efu7VPHln723GbNgwchccxz+Te
cbzPoEdDqB19RRiZtZcGVUFW2u+248gegrODBe+8XJ36vF/TFxBwREG+1DF6Qo2aLdgsgY4Qn+C9
PS8RifQ6WMYx27VOupxF5Tc7YGbI2h7d3DhnkKL9hnA/Ld3OD6xUqdt28YfHmYhERqjI7JPm2p7q
eukKiDcmux4zwzecCG9Dlu2Ek1pFaE+G8TkdMF2cc0OjYx2tyv0wW5Mjojq3TeTm3dR8E6XnMvCF
g/YWfpPmrHEvTsGeMTBP2brE5b7J/JyvUG2foeRxp/AunChHwmgi7K5Qu9iW7g+21S1fWpkMgnas
sO+y1BLPFLjssMwrpFgfu/QcW83yXsXtumcsUnnqzHjLjpPf2Dc0DV6Mlp50mbzRFpObaGciiozN
DZEVjl24FcvyZZFrrAMJlC75FuNdVQIlhnj3tiFwC6vId9zMaJ1mjJdfuX2d6x7NFdidKTjdJ7tO
jnGaljqa0nI/ixaVJVqI6k5iucBPyowhE/Y5xWxKRyzguDIjp6uivXFCmtyNNO5CflEDB1i4DSP9
KxI5O0FyWCI4jpG1rR+6uDftozEwq2SfISx/I8VVnSbEJp8rJjtEfaq6Y6HZ5jdpdXgzV4e9Bo/B
rqsRkFTIgPIA+wH+v3UZEXRV0um/2EYb3yXupA6O2aUfu8wrvQhxZ1rs47x0HrZuaPpz28hYRL0f
OzF+tJoZ4tXi5zAbCXN30ClT1yDOWO48DRQVws35b5lveU9Wn3xAOtWVgcodPyDgo2Lpbu7ecjPB
RHLhndce0wlYZX1CEarvIchFpDvHwSq0qrLckSzbP3Z4WAML/xmS5Trrv+VD6gx7X/pDd3QHtEe0
7MMbQ7Kmu6XLUf0z8NAtAtUkCYf0sopXe5hFVPI9fEeFtT1OKQc81ahzbY+p85DrBB1MGs83qIev
EtdXA0oN8C7kdBPx6863fqTgYbq0G2Synq+wIz5lshWHPi+peCfHetm29I3ltnCNMxWMTvZWorU+
9bFVRWXmcb1zKuTFdG7tytDnSvW8oanR9/DLHKA4xr5QUxAyzObnPNnFq5BKEbASKwr92oqIWql3
pt2oU1EL/UQAujjgFQW+9NOoaXrrYGa1+zaWhnmMRWdjZyuOW+3h73HGIo9I3qj3edVZT51prlfu
5omLWqG+Qr45v46djiM7LqoKifUqliMOBZT1bJLzt210yO+tC7MN+1h556FoKbrwH+YloyqN9lUV
jrfuNgfmeB2t7gi7Yu4Kx3IPOWrMo45X2v1JF/eoYNdbR9mqC9RcYtcBefQDbx629zXvIdUKKsiQ
sD3veUWtfr1KDb3f1zY9cemFsy5EJKnk30tj6Q7dJXeCw+RTCy1uBlujxpveYRMd4LryEDRZxYeq
8ZMjeeWHtvSKQ40/JTAtDfhROHr4QLnLgLdy7XW4/NJzLDqJ2l4V3z0r9U+qa7bHec23z2aZOI91
gx8ZVRbB3q201z6oIeJCpg4zgi5PD6pBACETRnSVpnM3YgvlAy2YoaSCWj5IrGR7a2ziMIGPvJ5K
+tPRtdtPOGCvsP7gdRLKVY/oM4djW3XLA2pNgCORMp+2qItPbWmJT7GodFSOXXc7W1hQ7HqVe31J
bi178psAexnas6p7Rt85OyQ32VkLGWDDHI/W4t4SVTuHduvaV6uSJoWUv0UkNbW7Wg6KHnnKrrs+
MXYTh/He8QXlHUOertmo8h23jPdSGy0JCEkHiVRb2ASkmTyvJKROh0xMyzOUJCMu+2ZgfaDdvvMS
13OCJHcwnpbGvGPHXYPGqsv9OiTteUMII68WM9fDDjTttMZp/9nIPfGsyBky6FW2/sNGRjNy0MJ6
aUlLPLhVIfhWN3HUDt9/VyfDzu3LPDm3y0wZMqdzNCmlqHO2wv261OWrY/BBlsYELxi26h0tZXxg
f2geW9zylEOxcVui+93Z8UxUMAfraFZ1lJQps+IU8gXckctj2pTurVbIqoKBdmAI/JT2JohnlV2R
51afXCQs72Kw7hGIzmG/GBsFWbzeO/bq7BZjYDIg41AwNk3gRwZjXjDmnJxlA5tam8356MhKfVa4
kUSfcpIkY3bltoM+rPQbO5xYdXYbL2r9umWl9aEoFvF97hiSN6KtvR9RdeaO2oZbbazFfJNOOqWm
NtJjtZXfWmXKfmdY/XKk9F6/p15e3Re9ksd2mtpdJyqwdUGSnj2u9X7yYOSDlehnKqlNJZJy2GUO
YpFn2xx6NC0PKCiQ+aja5ND7v0MY3GTfMJo334cfGYPfkQz/D9EKpjCxhV7y5f+YWXjuMj3+nlX4
x8N+JRZ8+bNlSQcCgX7as38JE/6VWPDNn00lfGljbXJMBodCaf6dWLB/vph/8N7yEHDQSxzO34gF
OAeOUWFjnvEkAnDGtPw3iIVfKIrfUNGuJxyL1HmekBpWsYH8QEnrujBYyuZ4RHG+hmMxSNrxi2m0
KukAlk9wItgkl7QMVV+sh60Z3hcpX9BnfsKJJh5j1C071c5vwwUrLC4hcAOYQIT0he1iaOunQov+
yp0odhpvraNtQoOE3PHB0UYRwbqnx7o3GAiT6FtXX2w0GY78tVGfGl+3e0IAHslvf690eX/ZktF/
KaB6H65+KwycZdYtXi5JaWG0X9KGIV1YHJfjsK5OwDVkZEiTTF+yHlB+w9BX5gA8A7a1oHKS+wTZ
VZQhnkE0tSacQ3l9rT3XuhpyeztrQzvXaR1TN2sMqDO6rPVj7CfPIite57T7VIgBS8o0rNuNgSIR
CmOJo6GhiMW1PwY5TQfoV34oLjMFNdaxkyzUuN84fiPGjhqISc1s8AN3XJc5yJU5fjdHvFxrgnuh
s9wHWCER+jrdpW1fHNA/VyH7fX3jMtM8xPEVf7VQswPEdQxX6xm91ZGlj4fPd09Q5PpMT+p8HZz1
S7dQBloVZ6uegRalX/InxD1fR8c3bmJnEid/1lilhjmPCI21b7aiG/eqat5zc5gPht+6d53I/f2c
AFmOOUAkpTbHoOvaO4zByFz8tju31SIfvX5706gzQ4Sj7d1MzMgnq1k/obpNQwbSQCL7uQiqXlzb
0D07fQmFx5OCPHcqv2e1Vxzdxv/CPPsigk/FBzCUKG5n0yWkrxLnxqWF4rfKoyAc5SpzS/BZ59kd
+vwM+UAvlizZcx93fVS4ktD2tkhu8jYpH+cBhyOtCsBp4Vu7OUv7EAnuBxcl1Y7EYnXDDPoX1qv/
viA83AkD5fAmmy6qhrTaTbp/jo34OQVkc5qlCsTWf8wJiogmMfmHvrYwWBv25xIFC56L/tFUetkV
g4uwL7d6rIXN8FEkU80S9R7Jo3rGQn5fWwZrlvs9nFIwjsvwWZ+MKuEfFkz38U1uybY7VNtgn+o4
wzqUrCQS2UiNdqYyjCjtivLO72W5a+xkPlWZqfcOa/AOWfB0jkGECI5IgU3SlO3MJ4Bk0Ijkcvp+
r+ysK1U3+WOf2yidNOiKofqPxE0vTxVG0vPseOIIcgWnYTsfTJGjp8ym6iMS1yzkq8I7rVayDYoc
zw9pM/HnrtHTLi5ke50NfXLeiDjAtjO5NoJchc5yjLv3BnlplDQ1x/+y+bdOZS8PyYLYVS82osmZ
yRZIEVG9e4AttFmRxzztAM4re5iJsQhW7Y13ImdeHobQ7duw+sds2NrAmd3m6IkclbbezIeYGSfR
aGS0baA6e7xPmqOc9JeJpJqoGOaLTFJ7oApYbkt6TCALsGrngjiML3B1zocxGd1jy3jBl1K4cWgI
N9+rSeSkq5PHgjRzvWpdlX3wM/J9kqZ1QAjUJh/LzTRu/YqBvxUj8F5I2X8RaTfsG4jHpE/qo+6X
ez1M8h2GbHrMZmeOGCfTbwF9Oy3N0mxnD/bE9Xv9ldSb+R2zX3XnIpw/wx7Nx2EA4bRxYoSGWxZ7
c0teCOvRt0bnodiuQJ3IskiEH/p1JUKs+g3RvO3Vgt6RO/eiiiTQkdjyKXWv7JJWat5ifR2bQ36X
osQLGzHimc2mQ4Vk84WyesTlUHW3Q7uOYUqcRzRmptxV/crlzLf8A4Rfscfxvz3G6fawqJrkHpIz
omads5POxwfOIcDxJm73Sqjka9dU29EsGRTIxN/dZtVL0Mh6uANeUpHnbRm6eQ9cRmbXi5cWj21i
Nw8qF6QwZHCmnXnBplxC+a3Fi6N1Q+3N2iXKwVDGGA1Gq6I486qD6IrummKPNo4UqQCruYgm12IX
zi5+p7SOGKNhhhDiD2Bn3zLprSH2P9gdH2/iIrS1K6Z8Di2gmt00XqCeuABoq+OP5IlwKl7egyyV
BRU8+8jbffniTdzNpZIOI03wOheENmHFmpSNcNRK5q9GQvMa5PXcPUvtfVd9flPNI7uvecQyemFf
vLsJTIxQATwwUe6l86Oc05FKsGAIs5E/uoupb1wkhB+BcpxdKxWl/JZ+rFCWKGMuI0xZXR06hv95
20DMWl+/NQsLyunLZ7JTyBdZ1jmqS3ELpnJT+XAKnHb5B+QX8jQyuDHsLt+0x0SYvTUBYJJDNBLT
UL/Vcvs6us2XyWUGTGBsFnnjEqzT7ekpVVFn5yVO7rO07W48Ju3hVpAPmemghkV1e/GtwBmPvY3t
uwYhzF1Up1PRPSdWMkRbn7QHZ2CqrwVYj1DvCb97EcUgQM6gvhKEcUQI8FaNgHvMZCRlxVJvvxRw
/6f1Mf//lbuOvCSu/XGte/Xa1Wh3it9paMxfH/Vrqet6VK2SE4GyVVKd/kZDY/9MAgj3tYWORiEM
RUn2t1LX9H62FRHmVLS8Ade1+NHfNTTmz8RDmb7PT2z+wACE/0ape8l4/4cqCwGNwjJEiWsh4nFw
vvyQAe/0ytBI2IYd9gJMN+sdns3vpkd7BRhnxMPD1BTfW3v4V1mfnssn+P0rEzgk/yd7Z9LcOJJu
2b/yVr1DmgNwwAHrHcGZlETNIW1gipDkmOf51/dhZFZZVpuVddemrRdvVbVIDUGRjs/vd++5pmMy
azsO/5artedvNjodOTafwazfuKHfUBWOI4CgiISS5QzsCi1B0T1eZ8nDg9Xt8jC11ZQdMiSx29hs
q2/p+PME5w30GqIPgzdzdHliurS41Mf41ddaY9EgejN7F5nVMBV6MURb2wmtIGroEV/cQR0N3eER
gZyxwIdDXc1mDYXbbe5GDaTGte1fidDFuk9BfJJoDDojIkpeFw9zTustD5ONa1jihGAjVhJV78FG
OxtWE5IRvCjDJCxmpreqxd+66qdkvCWQ+6R9j58XzlO7m4hj3M9OuUmr5JzYSXuTVrwUk7+YC4qa
AAwXpzFfPGIVCXKWdL94ZMjnTrVA4RCU9F2s/ObMo8WB7jGHK4skdb5iaoGvAUoA+kaiX+LR9B9c
+C6bcOHajh18Z45Wf0+0XK5D4kc/iObZOkgbaUDxSXky2oPh3Y045r/DyfLh05U48VCQOv+zq8bW
2jDEGGgsvniemPn4v7Cz3HVY2dFDS2I9w9M3p1jyLc1qME/ncecJLzpZtkCZdAzSExLehG047u0U
5/KOQFwcbbCTOJfa4DBmky7Occsuqa+m4jLpUffXKi8sNEutOiahHGGfmbrYlbKfzkPidXTphtT9
NczkmLCWUzEN1XNdeIpgZdUaek1OvHyxsPnAoWDhg25OgoGGBXT4i7aASbASTXMScHPfheuhqPNA
tpXfrQbwaHtXCBT3MhLLC9gD9BSy17rr2PKxPltVmTff8d+x37XGwvxyDOVghuqHYjPg97ngj2gp
HIY+4gT9tU7aMQGisEZmwvUYOIedHgQ2oVZY9k5GCt98qSvnhWFSLZslobuP2b9A3J46z7uindC1
S1XNhzBv1ZXL4TDE9lH3XhcWb6S0Fj+0KKOvkGn7F69M/NCmhX9H6QMqXj2z5N8wNkQ/8MWzco37
WBNivA7smO2Gi2v1/JTFisw91jS/C1DQ5DtF5+3RXRJ3CkI5ZOEqHhLmhcg25w3GaWubtNn8aJWL
/VCYHm6bkcXtsk7ya/SNdM30q85R61aJHqv7ITT999Yro1c0hQxpy2vKGz/LUlK2vnZfBiRRLoK9
OZHjiKePvOzaZ9wLGdNF0bgfdZzg1qsUd2bTbFwHkTRpRFCbtflltLH5CK8lfxmcJLx3J1v9IDyI
4SKyM5ht1siORsOUIPpoDinB0MLJH0u3lpt27l2e0bWu8lUITKVdt3af29s48rqE1x3xeu1OjDg6
AnixiYTl7cyIfDxQnMXk7sv9gBjJMOyiNGoemnGouQhokZ0WFDFzVaIgDquU8BUb02w07uZqJplr
pl76grEIR7EQJYYSt1DsqASxs7Xr2Pl+qa8xG9NIFDiUwQLPiH8fAwn8MD7xiZdcDMBcF6tTDuFo
31Hc6QpzvI9Lz37hT+qsSvpJQCJ4lbsJpds8QoyI1pJw+Maxnfw+w8eyWVgnuqvKneofdsuZzmEm
5rcRseSdw5y/qAdyKVq1ymTgkF7OWFQjZKRkqCq2TQZbFyZ2MXZcWCZ+U6Pqjr125wKoV+LDDBoK
joUBblm5xnow3I6dO75ksJGWYJEZwIFw8K1qjzPVeuO+NDiB7lFK2aIbgFzZFCc3MHn7C0GU6tmb
JwQAwkvK27BPlz/GfKk+a72wh8+jniM9Fj66YAdfaQmqLFocvBvNrA9maJCTVrad3ubcB6JLyWQW
baTr28fyehvatRkIu+NMFvG65OLiesOAHsMuqxPjY8TwFwaz5kqNLl2E27ZoEZ1HclFbaUOFXYNx
AKcJfcmQAW+cBrccl39CwSXeBwQJ4a/rsCQjBCix5T/BOhutpsbrUbcJUnkw5o4+cf+gsrzwhndS
864Gw7wx0ka99EmTH+k+S09LQliO55yb7d1o5gmaFv38CoKWQw9C2ngrO5gUmxyr0zOpcPBIQI3q
emU7Un2Whes+TtekVoynN8dsKdKKj5xqvud+wMSH2SHiUpsgMwh/vPXy0dzyDx3IXZX5a1Hq5qhT
r4yDRPHY0RS1YW4tllNuYSwwVI/KxUdvY/Obf4CLu+3HKFz1SmCSWhikfpIwyG4pqW/HDflEfEUp
VSxxQOWpEvtQzySt094LP4SeVc3CqkvnMxfGjPC6O0SvAm4Xf+grKCfwpsmDiWTyb5vCaP4BVNh9
4vityB9a7k6TNHoreT6fXQsxhIu+lb0BYfC5hLcLV0MtsINycWPrF1gkjP1VOwOc5MIgmvexd7qL
VMaAvB1aF6Fa5wsLghF4Ybw8O3yQfvmuEcqgE268ncpsZ8l4rgKv7FiUNlnXfC7xAN7RqVvlEJYE
BHD9o3EPkHX/WJZmf8DylWZn1G715pB2/2YNTsmLGdXIczgAACX1SQRWEIfARK/iMsmhBj0aej9m
jKkfPF3ie0TXCBUmhNvJkq+HArYuu8pgM41apu7AFOKflMMiJ2AnUG4CLEZyDaXHWU921vIhADk4
tUbyUZM9ui2H8nXIm2hdNOGEscWEsMT9FsJk22Ef6ztDDacZjebR5dJDzw7rUABQoUy2VQRNbp3z
Spi/jaY9UUEuqpb3q7Y6+1REroetS5m6wSyCJawm1X/upUmeFMtqOmFexdriZ3sleJttfKuFdWJa
DAlsAFT3zSYsqVd1r6C6ytjxHoTt6nDb/zbJeqlGIolYIfPptHExrkaAYrxpBsDB4EETnEG4pIzy
1A9Svo70T7GPNYuCQSjDmSsFj70GK3Wx8haPxyUPePO7ScOw5JzO9I+4KYYlMHo53QEuxfMrgPtu
onjW+UpFeNbPGHrnY1zHxs8wbsj8xg6WllXaeCKooOq9X8twUKB6jInacEs3sGkb/ZhGm1PgT0u4
uRjmY+FVUu71AHeGB9UyPo+wIngY/3YqzyGNMoi5VwdzytJE38y2sB/Eb49zhoCSrWLot03Q20V9
6FxLfeYhYZJJhoHnp9kat5of2FejtDPI6HWcLAiJxsLE1tC/t0rztlwNAiIfEGKUIb8IMbl1uK/n
qw1bOEHRwS0kzXfl+IE60J2Xb2VsYIEMYzDJS8UPuxq4+6uVW7uYunN7EKgSM62pU7HXGFWT1Zzg
/k4qw9iMeeFtyQlmG+WHkkfuEF7YLrPKVb23bL0m/wW413zlnWh/k3BNNqwDbT5hpfIvio3jOYkm
AuFzkqkHBJC43IjOjx6N2cxvrH7k9eND8QKgh+MKhsFS7Lw2mV9D6bVP7W8/e7w407zu8aib5OWr
/hvQSf9LRgNmN2yD+HJLOxRtkHO7+ba9lu32YiAkygqBflW2lrwZWzZPsQUCBMcd78JVGo9FtDb7
efyODTWtq6XGnrVwqKyqgnobfDFXg35IqRVDJY5sa9/jmCJtnk7zUV49/ctvez97XjawaRSV6KOz
HfEYK+rsloxZn69xICJaO03WbLTpxo8Yl4yHcgZjvShgOkvOPj0QdaM2o+WNQeknNtJJ3Y8CIolr
HNMsBH02zaSOeBO7/lMZDhRp2eHMJMiDMqvXusFkh+EVvAOcShf1BJWPCcmQMy+tkuWz2bGerwga
uJse2fgEfy8aNoBh/TZgTZG9gqjy2yOJ/+gL/y9pCkDmTEUFJcY5mAp8bzDvrPJF9Hb2NLbC+7Ry
Xe7BX07VoSfe/qPgZgynym6Sj0SWWmy5xjp345wSDraNAkKm9Tvjoa9xD5+AEd7EgsAKpBEWOhg5
TMA4sizr+8YbobR0OW/DVRMvDNg9gJqglY24WCquzVPmgWrYgqEUT+pqdoIG+VUs2cReBw0OD6Gp
Qnc15Eai946rMSc34FLKbmCEjDrgWscY/s2R5jbecGiT6aFLnObS2rpKcZ1CNMJpwDVvmCoUVJI1
h9HTThUYZfLpqlY0K2woECf8xrl3k+KEtRcmaF1CRIZ8PEXpc7S4+brj8rUB7bIrSNPu4tLo1my9
rdVouXctH4C72Ai9DW4b/HyZFNwbGD8aEh0ox6pLwaIsXCzwx66jPoNfPoxiS0w53hW1WdyPEuRn
PjflujOZGu2cLHjIj5lldi4xoLL55S6i5qubckrcO9t32i1FOfueB1uQMF/qNh0vhduIFwH6hWIe
9ibrvGlfi3AgpBPjCR3IFG3Ak8xbB5eOioxpZO3fuxgnJ/8QqlCGzCeWJuOC63jthzUeWDOlQghD
0LIRDZjlyMOsuwzNKIMy9MNg4fD+8lq1q+FEfFdzlF70gDbfDcUVRTZ4RxVZ9g+rdvWnxwM0ULxA
fZMRtO4kWSBg5GHkbPiOqXFZMIuoYCL+zcQbtdVTDtFmjzES899IMP3JziPjlIUsfgaC0nvlRsNz
RQ77PewFW2lLzMb30KuifbdTrkFXly24giL0xLJrknTEPCKtad3FGKuIW1bZp2F2zXk2MVuvhsjn
AZZMpmAaqNifbyFu4RABxkl9s/SSrenV/bZ3xoE7DhqtHyBHY+RwTCaFdXp9ZlZehe0HZwkHlYc1
I10zI7XH6vex0/GrvXWuxD069TFWqgl3QMjxby3O3sm5JkC8Q5MOrLKVKfDJ3u5XdmG67x2owK/K
wZQGMsJP57XXev7BH/zJ3+f12OrALiKG6NHO3C8PhPI6Rsk5tWM73mJ8xuYGfo7BtKep5RfocoRp
Ca/sHlmg3He9bT/ITgw5YHfBkUiD/bhGRNZEhaoW0DtGPGy6cRxyOU+ICVjEqyxxxi1U7UHhXpeb
HgHWLanljsUIXsjdf+uj/zcpQxMjKhHVf6+PHj/yvP+v//GRV//zv06kDfO4+Xva8K+v/0spdf9Q
sNukr2xTSud3GP2vtKH9B8t41n2I9/wPx8A/lVLb+cPkMDHZPysSsYis/1RKbesPSyHFcpoDOkbb
N/8TpRRp9F8Uy7/KJgV5i39VKkkSaLNn0bGjHJrBxbi6/CJBDXzUx8NtJVO33PghhxE38zFaVuj4
KVvSuj7NbJYOuPvq7Qzp5ZYQf8SYOKl1FhGjymxyOUYX6hwsszZLPrkgCcMWyOkY2i0NG93MIY9L
M2uj+XUiJbdT5O3Y3Ypoz96pvjN7K33VTdhQU1FGu9wcu2CE1Xryte8fioWNjR1fmSwFcZw8HiBA
QKH+8PzGPamY5xs4fKACa1zi7JcSCVklT/PtMDMFlNXo0tPIZvuxrAsIS8RDvTMkahIgULa6L0xT
NB8A7rSeusIoH7oZ3fVU0xhxusJozxUy2zb0ynDH/eBTJssSuJ7LLGQUqCgEtPAfwSSWuzJyw1+Z
kw7XmmPrVHPlXdPUsbwZLJkw94Dupk7IgeoUzU996itxajWOxcDPMOFvRP/n3JA7cCDZgkUWzy/C
FuHJSVT1kwa4YdW1lbH2tMGzqKvttc9j9atMivRVOXP1qmO/3wtZWT8UbikOI2yiPLVpBVhIl3RB
1cXNLw678Er/d61dpLxU4KxqncNoINmRMYiNJ8PI1XQDVizk6/rM/57NZdln08LlI86M5sRkU30Y
VZw6K0sOeBVyONWxYPfGUM13iauo0gHWRGAszWTsi8W28LO5JuYDd15H1//Sdq9IeB331gP6XP5d
j/wV1lZjVy9pLHF60ftd6efWvu5x88Gql9XiItUEmchzAmGpp+9yV9kHclTRxbFyeqUqRn3+3FCO
edmaEjtpH82XUF+jbU2SbSTf0ro0/IoffTJxfXK4Tq4L4DPNCsY80FWSLdtwUchyBT/lEEkDtzoI
3u8ZGQlBM/edbAOo/ar+8FaJUGpq6wHLQvjhC7T1lRNidsEfaG0WfKnMIP7su1ub0eMcIgGthSqb
+9KyiAMtMNviLRcLtodcBh9imelvB9c5qPey2szW9dbtlFzlcAo2Xb+qxgVCou9lfb9PPEN8kgad
P5ZoMZ+hEbJYRaa3vxE3PD7S2inr9bBAy0EZ8sQVNQhMig4AniM3+VAwQ2aprMijZIBiCRs7cu87
GL0xxitPXqJ4qeK1HBoNsSqhlwqoBlf5DVOk84iywbRiV8Z1deC0hbVJzNrL8P724gvOD2isLjbF
qqN4BpSsLlSxMkToHNnjaoS/7NpTME2/LDHIw2yWzi/JJLoXIuseJmbG89RrnuhmLdl4aJ+8mVdN
L2D69Ie0vfiQu016qGZAbo2FIR7ibXdVg33rMavanH/rwiwU5CPDCy9m1l0TRmO5/js9b2wWuJ2R
oR+R6Pq1NVT+V2OVVNZMHXBfYnbRz3hJRnSdZNi6ZIFul0qPQKla49gBNL0kvsOlR1M0QhuDOcv3
P/F7nbJxGuSLKM8Zf6T1mJf6nW+S75NIiAvkHclw5L9jMa02WYEJaQHkE3g97MgY6ui5m23n3ZOa
WETRw4VSLdowqVOSBpXi7ImjCuYpJWrxHAyW4xBgsYE32gjPa09d/2ody9sz5MeJmpnY20RNLqrN
VHnhX/S/xiBhDepOtdWGV0d8OJX0nwnsEvABAvxQLtn9XBRjoKcJXCpUeO4luLtWk9NXT2xf/BOG
rSnQUsa/SiuSx95Z5o0gc76zJdutIbFjNnEwUe2lTPdWTO8mlC/E2boe6YdQDRBxzvRiTtUarJNx
dPWEtUYjua/iSDY7Z2TqIxMT3xqceze5cE1sMEazjpxwWIuyaR8czvlLrYcQSaf0JsJ0KetlgOcX
t5fpkwm38stUhc+9IE6HTe9Z/mnJp2QvMNpSMORwxZDaOFZ+5OzlaMFUpmJkonJ8zJMbYExjujHt
cfkJnLXdQziKH3LuwYdx6u79pfThqyR8Zlckcq03ntv+CZxqi/eeKMA9Mc52NbSahEHti/zo0QZQ
3Mmwo1dvKqPvhBaMhz6xQzwC1xYqQ4z+Tz22yFhtIylZsZqPMc/d1x6075q9FPS4eM73UnYQdP0C
KldB6txkazGq+5ydwDlrFned2ct4HhpD3uLWRdiXiRketSZ/sCAKH3wrJpYbgQLojCvy0jG7bqtg
ADw4qs03TJ5oJX9HN6ph+SA4jKmvQ0EEXgZJn8jSNJ2jOGGLNocoFMKTZ0hywxsA7WQrpGC95ebO
bvBztkCgFiPE6xC+v2nK4lindnW7eC7GqYVc0Zc9lNfrDsdv2pJQDEh9LahhXvsrXPDxm0thbYex
No6Lt/RfuceRXJrt8NhoHkPgep10ZysiXKw50g8r9hGOC9/Sd/iiBCzJrIm3tQOOWSMBH3p2szwN
GPlPjPrmCcvZuPYN0e8qMok7kHecdIQ1Y/j+Oj2z/pugVUbuDuBtcmxdr+bV7OpnFPomICJk0SMz
h/t0KtuH0WmWLRlz9dQmPr2kw2jvF/Kxa48R9eQZ7i1pm+LQDgYk3AUs4EolrjqjAumf/2/H+P8P
OSDEjNms//sBnWPh419G8j+/4C/+h/cHaqEDTNESuA28a9v4nxO5x0ROj5nlwmFlM2Req+P+YdNV
fzjkVjAUmL7lWq7PHP0Pm678g6+AsWxjeLCVCQ3pP/AuYPn9l4lcSay+fIZ49zuOxCzh8C/9u4eg
HtwMVSm3d1VoyidynsuaKF1xhPDbrgdGld1Q529Rmk8rdE3vLVZ5ztbZ6Wsev30tdwWiCShWmb4m
URTfoui6N6Zf0KvH1Bmh/4OKJl3cuO6rtRCrWo0EFM9hGqHFpth4Dym+s532huXVt93yeylV90pq
S2Pisa3uzlXGdBGe5rRrhUGkAYLnKDzrODXQyNl51CfZFuVxNls+1n7RHTS2/2ltWkQRcfFZ8lTh
4Dwlmc+FIPZk8ZTG4SIOzHrGSST8oMCRyUDltju41Jbl4fNUJmDcHMM5uX45vBMRo3MsISUaB7Wa
4xd0XPEcOvPob2Hj8b2JpREBzRJYSTpbrE9fhxh4KfIrj00Lt9YBg4fhMwHCm/DpO4s8AbTcINmv
8lLlNIG4dnNvVLQgrfI+nu/pvkq2Q66Km8KT6cDh10cp7Dkn7/Ffzvh5s9h4gOzPgJnF4fhRmRSY
rVhQD8yKxlzfRlPKfqgWXl5tycIbLp0CQ3rfLvN8cCl/2vYzcbxVUQPETseUsjnMV2ea2JxDYpp6
WecSPnGuEn9v9QRfVpP9HXUZCyQ3ciB1Fpls9omR1lwUGEC9YOoEf92oh2ax4kiO32kkSg+kGWiJ
6cQ1RWmqR6cUajvYdvM5d1kc82qEwD+MxP5Vpeb4ZiL5HY0q0SeHa8k9YSPrmaBvc0MxQeLgDxTK
oLFUJMZmwhOQr1KZ6DbgMHN+70cJM03+HeV71YbEdKEZYmV+nIdC0YeZgDOH53K/OJU62QkhFdPt
nfc8GrKnnCaTRynI3+5LKxH38WL0pFEthwdP4kz+LQ/Z6K5yBb19KvW6G6fx7LNTK+vAShV7K0sN
lk/tYuUE03lJAZWm+d40/OQ+1j0DR8re/hyO7WMulvDdb4r0aKRSvqkm5yJpzNmeB6/Fy1Sa/m3T
80KtHAU5hrmZEFZQAIbE5ecnrI3dslXL1gxHHL94om3O9VaTRnZxlMTz0DwYJdY8b07IyMTG2qnq
96rKQwDEZc7MMxgvtWwmttvlEXaNsVV9eJ1Q5V2XYjRWDsWqPnbnsJGvIdGQvLfabVmqBjqCis6S
6P4nOORfptHUt8zDj3VTfftxGwahDdOY2x6OEgzQixzv8hq/CDMeLTdYesgzkAZl135HZpJ3PQny
yd2OlpUWYIlb9jtymlfkEJcd+3LVMUP0zrGBkTAKe+RAyCMunkuXnzFLsX5nnfJc+LK4MQTxFCDo
5S6TMFHvOzcMWZVg4Md9IUi7r7Qxee8sUNICIYsJhLerjn5h5RB0gXgWmJGSajj/6KG0Rzu758VZ
KYf02bbwRn5JvshB8cVMGPJJGHvjPDodxO3RU+lnbBeIhiblDbRpO7wtuomFnSN3XDLEBhnOPJhX
vg+CMIkmLXOCVUsYPite2qDvBg9NFvo1lNO8WacRhZhEAjRZraTrt6jCy03nxOLRS5rl3aOvyF5Z
cTOwH7bKA/iU9BKy3d5S4xB/V/EYdpCeqWrC3y7mLYr+tIltY5zwoVDTSby9f6vYhuzrlHaP1bCk
8X4Or5lhGr9YLrbKumlcUBh26sd7v9bND2k1Dm+HmQtVCPsyr8oOzEYxPIrMbH4YGPGPKq9nUNaJ
Uru2rzs+D7q9ABHp2XJXsv+piWdtbMvfL9o5mSkb6E6k2Y/G0u1J62nfE7p47Cv4CQkW/AcAuvrO
pa3vzjLSfAdvwr7UZCji7pAPw3wRXUz2WtnDs+/bwxYkZ0Hb4KTqw5JWxi07R1GduBDMdyMAZvZZ
nPABCCjzCKz+LfT97g3HS/pSx315w8uc3ufpIt9ZxLnpuoYDWwU1DNc7TeDiHNHqRqJWL+066Tv8
/V7nBy2OvBvIOcWyHq8XJOn3p2xeJGnjAfy3Qby0QRsHUJXxp1vGNNtmS748hgs2iiCkTOnV89nq
zxWExjyS9lFlVPWt+mypgtZNkk+qF/uDOZC9XeUw4x8BM/Auu/5s0n72pcO4stWYwvYWm+tfJknV
nUtmtyKza82oxUTdYRpMuKok/omzavGRowlnO6bDXVU1NbBxlpZY1caHyG/ZpXeGLncenU8HmBx6
F8qoCpies1ej6JfnDqflmSQ657upautYybDugwLb0kEL+7OdRbqG0pD+dCKvTjdLmVTPkznQpCkZ
PfBDc+07cxdMbiwPR+HVowXpPf+gaCTmbZwmt4ls9B1hcPZs4RJq0LcjFWeAhHEmMFLbxmbWRXmv
pGd2hxG8yVOJwcUCVZT3R9E27guZjOF5SszPhq3JsotDTHWUYdh3GN71l+o7zeXlan+brxADUJZS
ruTok7vIbOsladT4pDhqPsJJxRy6Fk6GFUIV5GWVONWzYiX6RRMbeU67vJpjYnoh4Nq+RYllufsm
qe27rq4A1HKIThp2LluC5LhUzvDDD/VPMNwY4FzvVFOiscmtYVlhZduzH3pkuYFDJinH4wxsFwdA
vRJJjSOjH5dDkQA+eqS8LTX2vR87p6lI3EdMQCGc5N6i8NmH/BAlDB3OkrY/qfu7pUWXPxRgsYMF
b3ZXJzxMuXkbCSFlnDWFY433bABa5j120BHpEFqHw/G5nMsM33+DsZ8CzAuGtek5pU0FyAsLvpQl
Z1C1mdyo0jGevEltJkmWhuYu734kSHTb4DGEJR4nr+Y8W4ehIbnVDEX1SZlVuhtTeis149aeKiH/
BzDn+S403fJzaC14YS0o9NVI3cxjIyEB9UnHYGK1e5Y50Tkq+3lLJWL97heULE1m6X7TfkGZaejc
VVYTn3KDx31h1SaW7nlADkw8i/7CAd7Xah6M+JSB1qa4uE2n7zAU43mZEw3vLueGNLsNB8k4lT8p
NrQ22Dapl6AvYjfmY3xxKb3dAj/ytwrA2nZBFr3pQ9/YFYjDgYkTDHPI9Jm7S3thm3sLBafbm1zF
17NJD7PX4VtQs5ue6w4nxNyPZ4bOeJ34hbzDh5btw4pjnRo0ua3slNBqfJ676Cfw+c/KRGHSmpwP
aVsEHx2rh5JSURs/pjC3UW2cOBPJrFgZVDlMglzqy3kq4kCAnWGMgJyBgwh4sz13xoMn8De8Yazy
1HEI24n61IoGe1xq8pshi+4QfHLmCw+pejeNnfmlnPGa4CXlUK8aL/U/h94zze3S8DRq5TA++pmj
aIDqlxvRGjepmTgPDJPzMfGBatmQc84tASGmOYqQ8PsnqEelNls2kY1jP+FU1Pu87QhZZ364Hrvk
ZDuVe8uJgKe6JpTsamvA/qptuBV8xdmCMNUGzJnLbdN5aLmVAKGO6w0PUGM1Zz6vTs/sRQUSYYPh
PjVq+jtnCCU3kmWgwJhXLBbtD1IQGUhNVA5wNY8LunS9qWDlvRVplJ9tsEeCWJfl3NolEwpmUGRo
htXcQuR0y0uKOdgN2rxled06Y7wEaY1DDtKcAOWVhhXeqjQyT+zQUOvZd1zxd4wYsm8PZZrlt4Og
zHfdtbgqSOfce1qQZpoUGmeQ4Kf7pE7F/Kmr3rtx/VS99VDjDp7nG/3KdWNIa3QdplEQFiCg6dUg
Jwq+firWRomBC5fy6D1RBEmjGlGVeTN5Cqted209rR06uFCR3LJq8KhH5HLmJGx2nFofgF9JPFtU
TkSejHYZ7J1girtdZOmLVTvftTnAwIBVdpiSsA3S3DiIKtoDt7hdCAiuBrcCg5Do7lGMDf2vNBnv
8KfBPBesGzKZ7ozrFUOpfM8LAfOwZMnNbMhvcnSd4lvMvCQx4UPLxQ/OH4LoucsjBy6bQely9Oo3
YxaAx37q6F5C0NXPBmMHpr9h3DZJx97cooR69G5sq63XuTD2dkzlJJeRn0aIpQhpnEaJK+YdxLcS
+r0rrZOGo7ByWnJkXa/cNf2Q8yoto+6g0nzZYNhjYe6GC9EfUGV2MXRBKnt+z6FoKRMcy2DMGuAy
WJgyLLZDvW77aN/5NcAGWdwtvQKJYOflxsX3fMNnTyL6EBHl0WPiqoKsteLeZB8TCj4fwgp+we8I
lq7xZdVkpHA5xOx2wbDYW4T1lKHUmIfdZDrhPc4eEycSdBs7MKBv1SuFU+7szn0SB33G6+s1maId
0qDRxpbDXhoqfOlNq//RJgUrAKLdXFiSzo1PE7Grar1YwwCSIMmpRtKV/4KZa/robB2egOSMzr7B
EcpA4/zAf9zrTUc8KgnMqzH5KGwzfnArPeUbjP9UMkxiWvHgEK+UHmePOOSrcWU00hU7I83ao1IK
UNbg0XUm1FC9IjI+2jNvRdF5T5TPOicOGJoY48rbTxnlrBWOqNodXcLAlAw4rb+pTDF8WTP1fUyn
wrvVve3tuWMV3XWDn73hu3GB9M81C7MmHN75ZBExdCqccHnOws+dXAh4PKqdmCscHD99TBaLpK+H
SrDy6FvbxFZTnUzNmc8pJMYXTWvKW0lB9S52ux5fqGrVs8fgIrFn5Rk4nMRO/+RT/3d+6P9A4SX3
bllKwhn/9wrc+iuL4n9Ziv/zi/7aiyu0Nlbc5F8hKv6ptf21F3f/oAbZ9n2F1PZXtugfKpz3h8dO
nLC8+RvPa/1NhSNcRILA9wUIXpPvaP0nKtxVzvuXIA8XTIgAUpJWk8hw3v8GVY8LB6upTzlh3FzP
tHqsu6cemuOPaOiGO3san3BUGQ+F3VFMQe1sdQK0i4QOLC5dO2OCBzdthg+6DeIDMYN+g8Tm4NvB
l29KZPaY2vb7yRXTA98e23kyVhdN1doXTSA/x7511+PiG5uaexDPBFleKn8Mn3jalWAqzfbVRkX5
KD2uRkgddOyEaXrBp/eQltlwyki3cyXGf24nrtgQnw0x9fsUMIAkwpTr/2B7hgAwYuQu0ppR2zDG
nSjwORH4j9dtW+Fa+V/sncduJMu6nV9FL5AbmRFphypvSRZ9c5Igm93pbUTap79f9jnSMRIudCcC
BGjS2L0Bks2qyojfrPWtqXkyCyx/sRor1ns6eKxHLAldp5snu7CNLfN9xCuYZhitaOdAlnSzx3k7
vIG4J/hahPlvMuzKSy+hbfou/hNyvfRXxwjlOe0EDLww5JqxXW5Ju0cPhp9iNCwOk9D6yFKC6Fym
mvj1/eAyWOMwrcVMps5a0cx/SIoWjE0B8tNVY/fmjwq+3MoMa6pVP7JIvmx75+roPnWoMzL/1Tdy
dY4b6CJr6QMCYd+AqWX1f3fW/v8qQUPaQKv/s/PgRZPR8d8e2s/vXyr+53Ph71/599G8/ZfPOQHp
goF6AN4X3cvfDwUPW6HEWhcASvXxGzIV//uhIM2/bI4RAXFDci4h3vnHaF7+xXjf5CuDAL2M6f6X
DoV/xdezPwuEgzsR0Y3J4WDJfxvMawB+LmPAfl9jF3tCcDvd429y67UMkvbLCObsjPuhqdf/9EI9
/M23+C9EcD7V/3YakWgFzsPyHdQouC7/fSXAcZD1sHD6vWt34S5pqcY/C4FnhI2fZRPuW1tUnUk7
dO85QWgzDWBVZ2vfyyXMQpTV7t7Ma0usFcGfP8IG9cFqsvBhs6qO9NpvZYNdHrgdxWOousMgQG0j
mKBgJ29II0SuMSJ+yaFZST215V5I6f0oliJkot9/Lf5UJqBd+9v0p17JltKFTLFl7FqHVDT9Utwg
cE0IGnf6jU9ioZ1UCdlrpLrOlOxz+ZU2xjrWEsEM8MiNCivIl61FpzKkt6DLvLcAzNUedUN6aYsa
S3CMqgq4ceSGL0ZPC72dIwOQkS/GNfTFX7TDtG04nMI+FUctxnQzDPGDH3cMvMcCb6RXAUi0yteE
CHIIV5x/+Aefep+6LAkEbkh27Q7au3VeVNCnAmnfl/Ww8YkQXAsJnDQamKYNbePs2N3naxQk5cqt
23TdjuKzNvJyhWDhbDp4rWImAWh7CbwBU7cQBBt0qdChgj3ANUyPDp4GFVfoKUM1gD7vmovZ1foI
XBTtdK66HbiRYlMhBiIgnVCtDiX3Wg+Jt818KTdqRAEBHpKCidwq1OrSOdpstJh70UNZbdedkHcD
VR2glxJJjM3BwWSdhWm3C+uoOMVF5u6RtIQkik/Jfl56hV4gRF4pK8pBExo2jS+tRmebxsYzXOMO
YXZ5tKomeZzmXGUbMsTtTcQ6hTMYs4peMW6UOAJ98ts3COHsYEN4GrrpQdrqk/aPjqmeJe97wn7p
R9TZ/pVtjvWF2rH41sx2PHzptcN0NR66x6jKLibuBkxIrZncpSJA/T81tAr0cYWs61M8FxUmIZiY
gK9ayJZMkOMZvtXSCkIBNNzFhOa662TpFou8R9yDFMVa7Ev0kwiHnDsyU2gyR0vml1wVFiV9nRd7
eE7+EwuolszKpUtt/jSszp/mFZuNfzXJExpWauluxdLn2lE8ReyH6xl1xdINqz+Ncbj0yEAK8QQ1
nhE+ToNvHpmdwhJ3l8565oEiz2+goI/ZsR3sILefKyQ/4ULipE93/vTsEjI/Dh9g0fc0Mf1rEDUY
LPzAI9baHQVJ7YbdDlv/z6BgWmYGVUPyDcMd6zWTcUMcaWHZv0t3YH7CVg8tuVQNk8TVPDlMJJbZ
hLtMKYi/QpovHMRY6/LPIIOlWvzciYRZZsKgo10mHsw+GH44yxykm+G8r+RUKKarxj3K9G83yr5U
EV+sPt3XyzylmwSTxGXGgvxX3rvL3KWxOzgihAj4y0wmWKYzkDVoNZeJTTGT3ZwyxCmXaQ4Bit9x
ZrnYI0jTDnUeHdga1tfS8wis/DMRWmZDUeElD/EyL8IZ60MLHcVWL9OkeZkrTcuEyfwzbCqmcLiE
ywSq+DOMShj3nwPA4DEf4GVcNf8ZXbWTY3156ZCcctHl58Dz7kcP/iNdqqUlXs1Sub+aamIRSFLx
hPcN8T/PpfGOEp+gDJIIS9dyXkC0ePjq+u6G9xoxdpyE/oZ1Qn9iYPOrlg3nh6psexcvYMAAzzP5
djYr0QzXQjAaEXaSKDniby4eDJMEr7Uj4aiY1RA+ooLP5HNvzC35jFOmjxkd609tFN2doqzMtnCT
KgIR9HTvtzBVJ1pt5NcSSyP819bgtIi+/D7F+lA6/kH6I78YprV1ngy8GpSHLz5pg2c2fsaqGAe+
A5vXYzRkd31oKwKzwgN2VMwkhXPSeexda+HGJ0JxfnM7sYyG9LTPW9IWMHjOjjrSlo1MCwH3bNt5
NlH8qMhiYDI17TeGG7QqwKfNi+eWTKdECGsHCZORjhCf+uiKB+MRc1L2hpaRRRfitl9YnLo9obcj
fFoemL3T9H5/qCFe2Nu+7/27RmfFq8f7tO5Hqz1MKNu/u961H5D7hF9Ej1v2kyLKGf3+XJJ1XWlJ
x8y6vAXkSHUACQN31zar2/lK4phcp535RaBtBUOJNVkurB4ZarAZ2/LdGDuGNfHIJHWTwav2/vAq
rX1SdIrJf+37RFw2iX4eMgHIPLRSG1u9N4x4GlqxyvuhAZxd3kIcPYsyt93goTQeyJwO70ZjaPim
4ZoN+o5Re7IBHm5tRBNN2yg6FpaXshex23PacDM5Lcu+LIn4FeIrzKHvxht/Tpzvx0HhqPVNQRTS
DDrKGBtxQA8Mo4RZ6wZ1IpysfNzOaNL2fs9uPoxQxM8xCt8qHu1z6kSvkQyiLRm/fABCkCToawnq
07ZCrWnM8WMx1tO2SpMd+tVtUrjWjoW5uMQjMTC5oS0y5MjFGyOh12HX62uufKybBEyuqnHM1pNq
cCWDedrXHpkGvEPDllpQrglTA/Eyzi9h3vNCFiglC5cXNm/K8Fr5fbUPVf0yOLHxHFRly/gHCzGl
BkkHLjToCprDnhOIqbJTR1s/a110t4IGrrTdAyAnexWnwQPLex5fkn3viQthgUuUxFq0/WgzMHGT
LdraCBpoxrpXtgBHVWI7Z8oF9WMByAP9Rhq461SiHtykDhBHauVvgcoMP9D85o8eYqKzCVLnN9Gb
7tHgymHFRBcFetDddGKs+t3gIHJbExALS8kzw99mPHcH15l8hL85LDCu2XDPastJVlVixcDOAm7O
DOM9Wjp73I8ilZ+B1TYXbA/jPbtkFJsLQTjh9RbuiS0n67S+T4tTJLrkKQos52z6vfXMjCb8lasQ
tTFeI9Z+bZRkHExWeEy16ZwiXmpzDdwq2EbSSMjWGxWr0mjqo31lMjUrTGG9ShvCDX02FpViGtFW
iDz67mCp9uvcDbyKN6GEiuj7xjPi9/QArWs6p2M670tz6t/JGizOXTOVEBwpH+6QIyrcdF1QnrRp
ZsHWieX8nKXT9KtLCS3dMK7LHlvImI9BXAHFzhJg7pS2HVtr4e1SmN+vgDXMuzAuy1McWuZ+Ej0y
yHny2PnwOcAKaQORKArs7c5ojM/9UNiHHsD5zQikppp0wwepKv+aW7511sAY2LoO2ZqAsepd2uER
1QAeaB3dgZF2LwKZ9rxtDIegWT+zCyr32FQMBEyLqIQ5YYcvZwbNbbuvDEHBM4TJuPYaOguk97iB
2Ru6fJgyIJh3JIzH+yAvITL0CDNFMelHl+iPo1fzLyhZEr1It0d2QraRfA7DAZrszEjWeuCKYNlC
mEg/cYABtmDFn6zzXCmW+GWwc2U57wLXZluCjgNPVfBJm21t8RFknDPltGf/5u4ahMnfFC2wMSG5
JutohocBCWQq0egM7bFuevWDh3Z+RC1JtemMJWQ8fggaWOTBCM238OaitUuQwEOFj/kOQ1w/flZS
jM1tGpMmfzJYhXsbXc9pSCdCg7cOmfcNK10uDnVb9MRtsz1EYe0SI713cJI+FvYQPY8oqX/PRibI
+nCjajsPdrTvWlPd2NhZP7oqsJ+7cWAbP7UieF+Y/vM2TZLyKULS+T0ObnoyACl+NrZgEuo1rHZR
A7jjI/mj9i8gK/MpGirpMwMdm8eptTgrZkKSKNiUxanm6CbaN2Qol6sWxMKby9v9maH4eXHYNLbP
fmG7+i4EUiLhX6A13VoYi7ZRkZJbI6cUCLcTTUxrioiY+aTD7nmsLT6EG2wKYUrdTuCkLiYX8GzG
00vKgg99i/vwXFlp4EKeauq7qPXieDMYUlwBLHjEt9Yeqpiqr5fA0U7+yOch3peEhb/WLBc+BS3R
urHr5rF17Fti9JtoJPapVr5/1lMEOJvPIQMX1/xMvXj4iAAzHpdsKrh4vfFu1ZXjb91gsn+4QMZP
vR6mXR/41b3AjHWLiDyGuhiN4cFGfN9MdXakoo4vWL6HQ0NG4qHjJfwkpaK/6MpwH9h0M783CIrR
lQcOJp1OOH2tTUdOxmMJb/4aaMkY3gk02HLIuOB6/YbkJS+fQtS3M74AxwuvUYzKJIq/Casfb11t
hiiXiZ7htBZMrpTbB787vwZJ3hXJjmjgaNMPIn5t/aB7G1KenBxnx1uaR0RRjK68lh1hA6Dii1tW
kcZlx9jql+FYQzn7QFQVNv0kqX/ZEi9NEg0C5GXmPs99oE9zRIwUEebDa7ZM6JSRxXdQndMHsuCR
HbSQ7LeFVevLGNoEkhtRfYQAHN/6ZR4o66SqV+0yKOzoSb+aSdi3uCg1cgGmivBG2vveGbJj5TVv
nTkm6Ph92Oo422W3HavAX7cDwOKs0/NnDHd5ZSHQX2c50OhJp+KdlHlx7RGfnAGfB++J14Qff7hq
TkSdxrXaP05RNX0k1GJ3hHkBbyGx78oiJXvSVHnoCIEm72ayVE/StutrCDTipVec915ddR8J5nJW
YDr5nMCkkoAe0FJbZe9dfY9mbdVPPF0Jt8om7hNEQkiptz7cpHWKWA23LiveOk6vqGXC19x31Mmp
w/SVsAUa1Ngt6AT7EorHBG8dAcSDR4TLKfR6aHt9lz+TjoA4xCjK3/D64wZ+RimeferJO7PgzluR
Eyu//Sijw+raoj2bEejKFak70cHgg2ZtZQ6lYsUCpHvrmkxHGCzs+k2PNUQFZCPWE+K++tlrhfpE
EcZsxcu6piSirSnfiVENPwc8+IRcRJwvZ1W17sPM6fc6IztzLynWdoQ+4BHbXQoS4TPSA/2V0yXy
q3dL97USBbtMz6uw0lv1BiS891a5DGmcQleXiEoNSAdnB/+gFMd06ee7BBLjI4ZNC1Fd6xx4JdV9
i1Ya3mdPdm/R9Werx9+lUCptVZXkBwDi025G5ndRPgcGOdT1e+uZiMTZKT46eYbauzDJnfTWmiMe
NUZFxFNVNu54FxjArw6oO3H+Yk2eFkC99VrSbZDvRADT7960SWJuzQkHyQTeimVohEGnnKa3jB4S
62PC0NhLUNPxy6N66e2QhlrEyi52VAEYRiFd/RBBYj17ackHKLFm/g2Gqh6X3JuRQVBUsiRvfquM
iPktutDyc27D6XdFDXqMHYNjKDTmTVw0iOvIUti7Y/KVRQy2LKTp7Mc/CbiYMKryTA8a0ssQp+ZS
jL1yyKBnbdWTGQ5iDx7aOMOM8nk3WSt3bNs3sA4IhcdUE3f+o06UfR/KkFDzyBZYUGxQ0OA7sqOj
y/KMftI9EsfKx8Fg6MciH20M9jm5XFPFLqt0swm8fMVVpXjSDIQVZAJek2iKNww92r0VhOYX+hBS
tS0SxGGjICPM47w5s810rj0d1A75jH4kKephmmNrz908PGahgX9IWxJyguGQCW+QQkwYdHuP9vl+
mQn9MN3QZqVWD5YEY1Om91R2BY5ezqsrBjGXaZdy8IcHsY2pK6XxXHnjbDN/m/VGwg5+NXMvd1fB
0Lo3SoPcRiaUhfe4I3AADZ46aDsm5ySXUB+VyTYvnHgu8zBY6Ryixk7PGkEgGrD2bLcLctLuRPiG
s0PsVFurHyRvmlfilDOF6hU+A3IH5yaTrrk2/LR11TThQ8x+6GrWRsngLKi8c8eu6YBgID1ho1KI
j1GiJXbiP7pWXu/KAQvbRpQ8p5Pq9T3DNYXMQSpKGhKzs23TG2R5znadbiN7AtTQzBstIgm2S5jf
xhxlxx5x1JPLyUQETydsrqMZu+7sZ7so7aJd6yCbCxTTt1h4SL6stPCvY6br22yMOCM7Uir2sSHL
g1sN8ydcfe9UO3X64joNpyB+AnKDJevmmuGVteKhVvf0BOJ1QeNUG9Psqbk8+yAVl5mu+lWEaZ12
z/JXrTBefN2rVToN+CemIuLdBGICwTgfb14o8nUz+cZR5259MiqzgsFRNh9mQgGC9oxlEIsWDmOF
HtDZZ1bR3OMN1Ls2AwaNBZuLlL86R6RoxQV+AJIWBArepowRSK0nP9RbW2L0zCocy2sXvuoea05r
cfGI/g7zl3qFNmW9+kMZwdaf0KcwuVqINW6abL2c/RRysKR+zhTF+C5xFBSL2evTcmfkzPLOfRwL
RrJ1JfjcMvzAKplFxht5KOrkkxfA7JkiOmOnnvaP7NrQJIEVTp5ib4bCg4RhWcI7rjNsUqSHv1Ov
mDE6Du5HJmb30R+Dytp5ZW4025TdXL5zZMW5lTb41ld5jl1x3QW+fFQYdrP1ECSgqzI/qN86W6Zf
vWFO8zrwB9M+jqolcXBm1P+c2HP53sgQ2nJaNvekqEGujWDo3PopQrItJuE/1AODONnbxT3XzQ/H
Skjz89k24lAIPoxKxrt6GgGcSU+elC+K11SlkKpKf0Q46sag7EorZ5Cij7wK81aZ9XjnJsrDklgF
1ZPWPcnk4TQ/M750Tn4jvAeJRYxET/KWL1E3I53HVup/MzVgdxmVeOBXaEfQso6wjzeGN7QHZsgA
cwhKHN8TtpEOzYiYrrqwvW0X35IazNmG0JLgOdNhecHUi1kTvx5JErhKQ8FNcFBcMwVAl1h/oZdT
FZrysSM6s0JCtWLq7Nz8WkpAdMOUg/D2poV7JZnUbvoKhs1GwrfbcY2Ih9wO9E1OYn5jcD7cDLcr
ST+zIDqUttrjlpUvElQZekZtbxPfAAZRJWLaqNwh47PLJ/rywcf4X2fxj2R087M2QMa1hoAPVhAn
ZqMSJNGEtyDnz9i3nLspocpaa8/o36dZkzDsUlzvYvAve5Tp4/0YtHiQPOLjSoIk3OBWIRk21hHE
h+/QiqFZJbZlPUUhg14s/2bxlCaeILMgpIEO3NnhOlUg4PDlivVYSOeuxfD02ESVCShWlveT4ZSg
ZpAL/5hHP7mDYoeuom98d9F+IRrGpJiWh0Q31osbB+KcNIEbYVdKIC4oQtBY0aSFd0qJf/6ZoK35
rAMenu0QU7CterMZIAbOwPDcSdLGzZBS3vi09f26zBNuAqae470yZfhzwOfJAcdDhOU7f/M8KY7S
0mjQBNlqcRya+whN+ZmznQtIBea3sjsgTEiI5H4Ak/PiGknNVhzE+RilzcUedH8EwNT9Vp2dkCkW
cHYOeIG9FSvg8ZebhsWmzTFsIiFO19rV5aG0Z+/kcG6D/q3yJxsv68kQpQQhP3XfJXLQGj/ahNon
N8tDanuos8aoaD6tmuyHLRDo6pEWiel3XaqXDDbvzac6+znXnvc0i5Y/cFDuVNQ375EG5NeqcGLd
kUDDPOnMBPjFa/hUEtr6kxuo8FepNwTPhNHJcF0WrUi2lYofOgQqj1WVoWCfOVsQ0uNFOwem1g+F
9PJzbfFFVlgtsnTXe3DHkmkCMKbuY2astlzIvbj6nVI4SehKVlE55I8A0DLEQ0EqyKgJK9jMGSu2
mOLmAuLRvbHcKo+5aYGyFLBYRDZCIu8xYbZ21W7blpCOOR7C+6Kf3BNfFt3zdBtfowXRkr++x1hZ
tlZSjZ+0zP5dhwH1YRqL78ZyCL3sonUTw4kXaTBdXT0VT8kAuQWEUbVO4+BpSjBDZC6w5JXL6PKo
lbmAPIcx2abCdJ8lRI1V4Ho8PFOtSRdeuJWtoYZdT/vKhqZjwmEkRXjUlO0fXly5D6FpWgVi6rF9
tCno6QRyx+hhYHHL9fhVT0mPdHI1ofL9EWVje2G7+hNnJuo1LEjOfRwJ7zogsLiNjDM+Ss+3EdRa
IYDiqGN9E3d8mgYTPTD7rCXS2V9jNIRr2nbiN4ij3kAz3XTl2qqUkawZu7fWJnOGqVg7lAjnzvDK
NxlxZZFmS8kSM+HMLDEQMsW2pQINUr+yT0VCz+u7jRtdHca49XGGm3Lr46Ws9khdbG7TaGRppXXx
4cpQXdkddlvs8/7vHkDfeUC5xSzY8n+YXgxbh+wqom8yUPWnLnQoZL2UvZWcOzoYQcLyWQnFKKdo
5MZnm8O4t3Y+a8cu0crnmrRSA0KYzYyEKCvmGFdNNplYB15Tj0AH4ieHRK6dDKzhOfFG+7sapvEL
9aN+bshAa1GXjcv5DzHm4gYpts0Zj+hHk7G/XHEqRK+MSClN0N7TYvUphzH6VeQfRaYlF02m4ysZ
zuYXcelE8g51iDq8nbi4pjJwjyGQnzO/FEl+3MEjkZ2yP06OxlyellF1bJVDICJ0rrJepWE+vTUA
19jbxMFOiJo7v2xivSUBGYhMFQqDHAcvma+wYTi99SBwTgSuOkWjKiSU68n7GZgpfBnXRKIKHqni
thJJjdfVCibnroYyCldMy0zzMecWW0HmTuFXup1sLsE48mOyzEahqVDeEOdpWy85cuYXX5QZlHYP
dY0ODePIkL3wNg7uNP7HwEO3wsQgXtjZynw1sBD11niinG9QFOVdzQb1xuVF7ZJzXa5Ch6v9qM0C
z7on5vGdebPYtlkKdX3prgpfE6YXBaNe2+wHCUTAGjCSqnn1g158Z3a1XGJ5sCNABw+NbXWY/x1U
BGugGwVWadM6jWUz3k1//CPWMiQnf3nFmkZskfNZPFm92BrpcLMNJqOxGuiu1XtHEX6awjI/+kZp
bHVmKViXTf/Lqp302lFO3InldI7myd94MPEuRo+PNuz5rzl18DxZnTLfTfTCdwpt7TVrB7GttEm8
Q4OKPFlLR7/HXT3f2r4vLyQhL3FslrG1RVgcc8szf+Z1722j2m8vxDLE9yGJJO0aV06yQYs5/1SR
jA+RFXjHFrnsgXqdMXHVRc7u/2uD/k9wOnhs/1Pa+H9X6rP4Z0nQ377gb4qgwP2L3lIgwEMo5PLg
/U9FkB/8he+N7+2i8LH/xsj5HzJB7y/uCVDjnssXW77Ex/sPs64lAgdSvuXh8/as/xI+x/0D9P4H
atxfDLoBPwlpUIBASFqLcuefgN9V7A1mDLSQDEI+PCvUCUD9OyuUlH9Vx8Xgw0948LHSx2t8UT6I
2GjShBPodFkMao/OjO7QaxG9aBikvknFJwun4yIwCCPcs0c2Dn7Q9luBZfgXSGbJ6oaI2JPt5B0y
h25Jhwj65OiW0TalWHywk1LcAkXaXSQmsJUCKvXI3ORIxsh4pT198m3cgLyC096s0dpXhJNfU8VS
2meXZA/pFrY6/rGCwR31+9wOQG6Yrq2ErlmGt36182CIkgTdia10OswDTXANI8O66w0VEf4Vf4BP
g5gjSDRMDUy8s6mCXeXIb2bNznro1c+yyPx9VjPp4yKGLzSG0zHFxnabg2A4ZVSn30HDvCHHRnwq
Lf3pjQYqYs9kQtZxwBNCE1z9xP0FJNcirGL8nrvO2YFDJaE3NUAeeKsqnb9QfB8Nxte6CN/GRp5h
Yl5sL92wgTwVNqvY2CSdxGuMn3blD7twlN95Xu+Vvbih3Ylt9kRM7CDhm4M3rhJaKQJzww3wPpjs
VvqWU+xvtee9u6l5SVsuNp81rxpakqbHZosyw8fTYDBtG1S7EgR9F0U1saK20SW4CfYy/cAErI1W
M1cO3sSC6IPa/gLDip8J39+NAbq4nzqHBGvUPx+FYuOzqtw++imWVMg4HfkOncT5Yg32z5Zksn3e
Nf59wQLhLEd3+t0GmmQ1NEENJMcRVUddDJc2zu5Nq05+oxSp4GvUCEoiEmqgY8JPTHJSHbPuT4Ls
I9jYU9YRUm0BfmdNZrTyXoDnZHvuP2RAKjeDOz/6cXXLPHTk0eAx3UyGo4Msi4ZDszQn40w8BD0g
msSZACOl4w5J5gfD6f6qPBafIkfc3QuVPXpe52y9uknPI0tI9KD+TqZYuMpRzmvU+9NZA321DNt5
1JFS1sXzIF6vzbi0Ggg+RgLuxc4KFFMFINI1ezli9bxgMXClPb/sJq/tZSLidgEZzR2y2609h4VJ
4A1c7LVhpOKxxdWBw1wWqt+A4lzSqNzZNNcdIZk4zMyxjbb00lME3ilO3LUHk87bhHk4dJipLHo+
rj4CD0vQktHFsJNCHzqWLZrlJ6OMVZrZSf1mZGmL59oouZ5ZUPpOvvKWrCXR+2V/58Spng70uO10
Dps4H3b+6EB0jcq2RYyE96M6ZjhiK7J82d3zc8HQIAWI8wBAp5G6tIUhRjlcUX60pQhGPMtO2CH/
TrpYzyqnWWT7wkziXVgYvvquyOhirW9RFGwsbGeLGz1wPkwRTW/lwBMT6DR8aKPWnzZpaCHYd5lB
VIdQMPtnG8l8fe2CKCBUuiK9a+NlOS+WR5RJ29tbBiXRS5aaPCHa51Gg5wf0VxZPCnPKryFsKnuT
xAOYFPLurOzBrdIi3c2dXfrbghlWdBcTUjmdbTJSocqPQm8F5Uq+Nl1/lpspwqe+Lzo4tUe3aTXh
e63RJbvAyxpSDAvqkZXdW/NnCdCH6qGLH4NyNrcL2zfjTMk2msQoftGatpw8xBGLbdOz82LhRx6C
+GDbH19xN+vPoQScT87S2Fy7SnWs/vw5PRajO3/6Dmk1DK1XpovMWXvPsR7f/TIdN6psph8osprd
nMX5TaYWxx6zlV1UlvrJZri/63vl/4hEAz5Uanv+sMz5e3A7JHlmV76GIG9ozjeGor4s2l6fXb4v
9TYbMFbGLDX74qLbPpP7gJiLX0NPvvnajQajWtEQNPdTSzioEY84/DGKaLGpPOqprSjLfDhzar/2
2h69nUsj8sRMIJePYd5QCOae50NPVC6NQ4lSYIIQObIQSAJQYDaG8t7Ms/gp9yz2bGTsOKsBnnK8
8Vs7eW6rUvcfUTXr9jRbIz559jsKcx5jNCvBLJsN49cYpyGbXD7L0IwjNyB0sl4M9TBw2lH1D1pP
yb1twA/o6SWuviTlIevsYxi76c13zW6n8rl8MWbTuxhBPv5ATFHfasMMQExOQfCsqJMx5rRF/kAq
QvVVQgg5dNk8HMO+8IzV0PnFpxsm1s1QTPY8AURq1Ms6T1upT8C5373lSZY2m7Z0EqRngNMytGfS
/+3nc3OpMRD+BoA/MNBh5pw/K6Px1gqMAJRh6QLL8iozJfTMdyGxsiEy77K+d5kBWO5bMRhQUnvK
+R32Qje/WJTanAqk4xll0D5XEfizNazR8pfw/Op37xnD+9CIrkY2Fwcb1ykQvFuYBRICpebm3qgS
eY1yZRTXnEDwZ3AOTXEp65HEtcyqcOpHbHjTbUAd/U5quURJooJxn9ZhJU4uac/fQNP6m5sJ/9ms
yvxSJkC8zsgQvRdEuc7H3HGDkFPPIekVU/TuMuq8idECEpJP+XjF64rMFzXHIRwIYLMixzrTbetj
bwvoGZFN/ojTDYuSNKMhxxHVFgQwE1BIKmEwq5eRIv4uLFt0umOkYFq4cDzaa2HgCVrNUbEIH5Bs
MIAxGa115jzlW5rX6qT02IndLKVybm1KRG2hIj50EAtlv2VuFUrWZ4GXngLAt/PRD8nEYK4gjPYA
rYj7r4l8t7z1jjCmeyxmsbgxxQVqDYMEZi6OtRKntFyUSHXMr46oeMHDF0aGIjPxQbfuyQ9xoktS
Gi4is3Lob5YIk+hk17NjXgboAbC1GOL7a0Cfj0E11rRxqTF1RCwmTv0aknoyFhCo05xYcQF4Zltm
PPJBHAfrgSSWa+ZZ/h68d/AcjgUZylQujPRCzn0CDpKDYc8SgJsPkVkkqLlSUdzLOcff5ymfxVoM
ixszLtPhVM0XBSVar0oljXMiFe9CnWOY5gPRtz9H32U4NU7sFDppkldI15S04SN0tmzdqiTcahdx
iqLHevetrjmzLYheUiwa60zRxLNrcKNn24niaEt1U/IOV+ORZq+pL21VIRBiVQzQxB0Dn7e11rCZ
QtgA+gHhmXkP41ZecyOWL8wCx2YPYgUmeLXI4VeFdrG/1GlaHOEsyZfJ6hPe5gmq3DaYuu5plCzL
j9bkZ6dYzNE31xyHZQjIGC7xEMvoAAcg3Fr0H8BaigALj5k/zJhtGs8a9wrlBfuBGoxFOTuXqq19
zJzOuZlJACOz9znC8QlzqwyZvzjzJxdG+hR5Iv+uoSbsm6yxmt0gjexo6RbVAa1M882KkhKscsJj
lJvDIccknOzqMYaJZydtCsRdSXvXSM9cHNtcBPthXKIBnVgTOwjMMFgN4zjfZ7ZCoK+n6metpp+a
aBlyKawEgkdlCocFgFycuxZxb+nfLC44T6Jf1f/GjvCvEUf/a8dDb/XPHY9EhGb+B3tnshw3km3b
X7l250hD447G7N03iED0EexJkZzASIlC3zl6fP1bYGZVpVR1MysHb1YTmckkMgIRgLufc/Zeuyzb
8UAkGlQJCzHKkfFI8vBZLf+ll8HRgdbIhDliyp8MWP2cF2UQaMPBGRWckQRsGYOqWjh/cjm4VKof
C7jl+8VvZulUhNRzP16O4Wlm6yILPMxd0b0lyw5PUDEVQTi5GfRFLY0/MvrfdBlbKP9/8urm8mn9
/PIOZgksZg7V7c+XGQ9hqlUKQZkgK2aLGq29N93c3oJqA0QwNNmtW1s1I2ExvaRTOfohp4leJ0+S
04X4PGYYzM2Wg0cB5Hs3jzejU5YH26rpfupQx2mCzSTlEPUaZ9eNUixVpYMhrEqikihw7/zH39s/
XxCVsE5r39MNwm7l8nn/riCeLSJ+srKrDjMZh8kKllEINbCMB33TobVhjw+xRR/+6otauq0zJwHW
SuWv/3RPKtAmok+9hhcN57PlMLvO2xddhUfGRTUxZ383Mv6LB+BHM87yAPBiUL64QH6TED/ZgELP
MovMzcFdzLG2kcr8NqbaNtfH9k+u6p+fNIvbUkpsPzQ5aPP++FGaeYOoqo4LmNm52V4LowrYOBkE
dPs/viLjn780PJWCKpJjoqnjMvrxlVC9iETOMmOKa9gn0J6eH3RjFDI28KzOJ0jFbHbeHC+5ndHQ
XKdDZ4kbxl9IUjjydZ+nvwpviN+qLpj34+f5UH2eFf/4rf7TZ2LgPfWInePukni9fn6nmghbAI/x
gawA3TlUbtfejOVIsfSXX4fcOCmlt3SSLO+nzx5eYlOHYRcRxEox4CvHLGIkKll2/Hyd/3iI/y0P
8dKY+/uj5xM5+F8fnx3Fq7f843/+++otfMveim+/7w3+6j1efu63/qD8xTTxA2NHduC5SBx+vzkG
vQXmZ9oCD7FOKBQ29787Bk2bYO3F1evZ5mIaXgiAf+sPyl9IKCSL2+ZQLvmVzl+xEeMY/mF9h/wt
8V5hzKE/SBcc1+CPT9bsNqbeTxxRcCRMm8J5C7EGrJis5leRmIJznBFRg03kEb+e7cuUJbzWx+xt
RLt4SVyyOkZObIlkNBFVAwnCdMQphx9DkXt+pjwCq7uYapbwIwKXRX/bK0nekWkpHxJAdt9EhNon
nlJ7NxIvSU8gdGNfpmZuMVDEm8hB3NH2wW2nAQUocmtDmwYrUAJxLwrcrQJGyPlensFG228kNoAq
Qm/dlCYqU9ebLwCSckxoLdjdjDEoxpF9p9FGG5qek2vibmfIQCF5MEAa6rzClmw4yFiV5pfecFtH
pM8J79vAHGOocvrzxmZqzLs4R0GvKHlM2jddaTJQjsejFgXJDDnDnXdmpO5jPtvrMs6pmtEc7sAD
PY6MtJktnjvJh+m1lXVOJi45JgxLFO2u1gICOar6Qs+ywfJQ5rsYdn5lTvNV8NR4+BybmhkI9qij
MKLsatLaJ2T2flYzbRP+hCukXhMk+b0la4g0WcIJLAOZJWGNU/JQe+EhqgjkhVlESVxVK7as0Cd3
Zs/Z/hZZd09gRDM+dmSxgFfKNxXyfp/BGcipjo/GqcGuoC65Z058F1n9eyAnB+ODyLbjuIj9SwIF
Jfkgqwy3IM2dqiKqi9LRxQ+yzthIDqY3TwQ2lHdEMSAXNyzR4aqOJrhgZCSumqatdi3o5OvRvni5
fLSIUN6Re1fcYPfT1sQKXEJdXNNSBK5ifwmz6YoaZFq33Sh2yaCQcDQHJE8Y68IvQzioE+PbSU4x
X1VzhU3te1rcAxSuGL971l46VbaeCEbftMaGWfxaX1T2tWdpxEDS7qvM+mrqdRAgQ7+aOASDutqW
9YRYBpxj/mRmTBypsjQfVQCvnRxqfEcqq/RHeGukXU3EvyGCAYdXRIA/cncwdjAnVoU03gSiyNNs
eN+zxLtY6bwSsHedoL6xWpeyLPGhtd8p1HEvvdL5GfyoG0GP6t6zC+Ir6LghxCHVysqVdj1Hlrwx
hhnrvmegm7Zc+bUi4+rUqjRu180k7ZsMccGR8SzeBaHcN6lqmv5dEZ40w3MPoJu6Q8ZE8ktihV6/
ZnofnyMz0g9REqLBdVT40DjEI3KrNgeLyKqXKUUOM9VDScoiQ04HHdIrMb1oEAR+xkxP0zUyBXZs
pBGnyovtrWEPw7aFFkmy7zzC9hb5A5Lb8QFoTHdM9Cp/zNXUbOvepOGsKk+9tTTQ/dqI+isxePKC
o746p7073BpdYV0Rs9HhslDGi5GQa+qg9CEHzLNPNSrhg8Lccg2YKvqwcKeIVUOayrcK2j7xJT2f
OkKq+JLALjjLhbydBWCK1ijB9BvXHfW7werrKyMwjXMO2uVx4su60G9UZ24V5wwhTz+TlQGHqFKx
se7yCjU4+WZXUFpDP6IndJtktO//5DjEyf+HVdvFjeKZwnLYBVxbwqFYEK2/O8SmBLmXVjOHBzcM
M8IQVNkfKIebq9oqiE0NdAprYwBgZBqdbwyMQoaeSTVGkXAj2u7R7httm1ng93onwQ/TNhiacUfq
tNbIC4pEHL7A8IYUGpehvLELPTkxu70ic0dgqvTmm8o2qAgDN7tMIbg27qRHGTAYVsJDJTv2OY7q
Rq6iST4oRTnfdUN+bXehi8d56oKHahhMDTfvhDoLNCVC5KjgFxPhGXkVo59q2hVzhCGGEr4fd2ig
o2SDg6980Yyoxo3Zo3KQs1E8Wk7kvqCFPDYZI2TNdO86Z2FstcV6smy/KiZJIeoUPsx/exfnTHCt
UOyn3Gh5VxbQiPaMlP8+UA79jlIndHREkpNhb5lJud+ALk+JN4I75AzJRC5cfmpm0Z8CVZ6dmMc/
jie5pfm7HcDrYbYDnJTjHoHJYYdfIyTvx6IfxFYLFwQqUjYwazhWa3RfW4IPkrtqRtMPFSe/6ubB
2XlBzq00O9xVM0XFGc6jc4bM05xjqXmXTurRY6SH5jmM7foqlZ5+R4tOv4lSyki423Rd+a5Hmml2
fCGzzLvAEOF+d4eo+Qa6ljgKyoboI8/KYj2SL7dVy5MCzNo+ucvTYy7PEZNv4wWbW4f7aLSukNqO
t1Udo3nSC/bnqOkZ8bNVki3UvNWYabHXeKLZpssT7C3PMnqV8SFw0uIBt+d4YRoaHqreGggAZx2I
lxVhmgf7VOFsXpMYtdwHtXvvLmtIvKwm87KugKYr12JZa+Sy6rTL+jMvKxFAb7WnRwWV1zXic0FP
diF0qvyLgrx9gIDuHRDZhaes7aJ139ruW5KZ0wldBHWnnTo3KF5YGD3+94kDiP3VdtxoR4xSi54n
tm/439p1V4c22pkJOV5MXbeeuomZqR4od1w1s8cJJWUE3GyXVDekKxL37daJabT4SFHsZRxlqWmf
iyjvrwonIQZM1sxQZtiCs2960LP2CKmC5FiQN159oXRViDdkyhiGSNi03ZP0yHiGVlNIKD2yFMY2
rQviycoKNL+qjr0CN5tmCLBD+Ll94pnrcJPPErn+KCVGcchJ5JZXRQKnsW6tawu//cUNR3k7ao6x
XRjHG5UI466ZlUxh4C+DptoGB7DRGBaSFpKUhN2lVfBu9TZiLOZODKqAk0bapvscYPUJyRtrh2Xz
ec4yplvI8Zh0ca5k6jUqcmHPtBDMuxTdeF0VNbJeVKdzkgy0k8iNaM1i30hX3yZO+9j2ZxvLPXn1
+sVBqHoRTECZ7GrEfsZA+VIVB2vdYYRjBBNJxF44EndYYekWDgPuPnmtUm+AgTp8NQq4EcAjCN1D
fRkgFSQhjGfUbtR77LxntUbOKJ1P1pvJ9PuWbcDC9YQiTt8h37oVnnGXLMPDkSkioMNgH5Giuw5z
RbOAVs+phQS1z8ogX8exdQxcYt+WiaQdE0Sosf9v9Ln6mi3jSr4j0neXEaaKhhu288d5mWxKMUQH
zEU93pRyPiVpO6zGoWyfDFdngmXU03f0vdyDXVhiYCcpT0/WUKSc8NdGz3/qvD+r85Bo/WGRt39T
01tBC+bXyu/w7X/+2/j1Z/7OiWIH1nUHlcUCmfkHrd0Rv4AGIpza4CVYBZauzz+QMFRctk1diJ6M
nZwezt8KPOcXeEJ0b8hpp3nBv/wFWLt0kJ/8rn+H5AM1iWVQX1pAlsl4+qkZhJaPcW4aFbtkCRan
MTY4Wwi0+bbg8XsOYZG9SLeCnmFjDl15dQBgdcT3p6d1vweX7qF5UO29J/gdy2HBeyrhVD6bQ+Fc
YQ4Vj7FE7jeYunWYcgTlZaxZV50Kx0PBn3uCFVg1XaZc5NsYrfiWEsyDGazu2is7080HlA4MaePF
9zQtDijl2tmDiYGaZQZ/1IKKvUGJCNZpcU+1i48KpVS4shdvFfPo5qhorj/hGCCeOMm38eLFcjX2
giKvwbAtTq1k8WzZDlpgmSITtBLws2XmEtGGpB1Bul2GVx4j9F3cYEojzifzrbpLN8AF0Ii2yuFE
gA+ro7dH/B1iiUhWqylmbxYCG5kVRdpxXKxlKM44pJq92PaL6axv9fZSLka0ZLGk1aZo6Ko3xsZZ
vGoZ3v0Daw4J9hnN9LSTVwEReOhCRprzY+e9GEqwlGpFDwPSFHhc6/Q6W+xwcgGAtKpackwxy2GO
zkjMSaptSWfTp/aEiE0u0CYAe3VUdBgeg7T6Tu+2opZv2TSY3qTDi96O4VO7QMOmKGgePA58H8Ys
ZmclPgFU8SeMatJJrDowwQSYwfqrvxArBNNKfPKt3NkZXxMqALFNAxHfFG5Pz4Djx8ljjLtR1cAg
XhAHGPslLhefAS/cCe4RzV1rIgP1UHVzcWZHy78bC5UrAMTDUAZv8l41ZXG2FpBXMMr6Ppv4XkSd
6xwJne/kHRa3iBnLo7aYHsmGDf18MUKygSN8WMyReDDiJ/Cood/U2p1pJ9UpwTr5XRsRS0IEIowy
6equpHc/jbemmXyLsGLKxZMJOgFp+egEJxONp98NxYI6TkqKAyaqmDodp8LGtDg9URQbfjw303Gs
Z+c6rzwM0indiQK18rC4RfvFN6oWB+mEDny/JIyc1eIvxSW5IRM52JeMdENygPChklxZXg8t3tTJ
tscjM2j5ElnKdjfp4mJ1Fj9rWGXpoUiH4TWnD0kkNsOmCLeVXy5e2MGqGz/2Bj+15W08GjUeDZyz
Xpf1b0xZ6yc5WhGqZxy21eK1nTs8vavJChZHHdvYRZDOg4/LWjy6Da0t5MsiPFlR2a85eVXXcgQV
ELtV9SXwpI1mONc74hjRc6z1vEpxr6MM7SGXgKzmWBFquRGi3slR5FgSSCJ6DN6vjkoINY0xPNl5
7BxhL08+ZN7yEjgtqg0Mn9cx3alLVdBzaSNm803vkMToQlVmw64qm2zuMO6XTCDjA5WF8eHaU/sB
yaO+mAZTGcKM6tlYS7MnBaugreIXTYMeFzvV8Ag2r6h3hu3q2Rr0K8k+JEl6Pp0Azjao4xijWQuL
syt6ecEe0G3KzNK3HUV3gSoBtIBf0edy10USVZuWoO14Ozuae9W6BulfNL6sF6I0IChhyp0gwcpl
UEwmLHLePgMEv1IxIK2jwuR85qS8ePIXYgW8l46DWV98a0B7j5BaQ/NVKDlKGkNN9DISKi9WLIja
tHKKxMFED+zFeZkKwdEBi5b7aDBgu2K4NzzXZEgSqQYz3F6hsZgOFKyygKzjWpQYwEzfOe8T6drK
ynnuyLEgCDRz1Y2+8GOtcloW7SHANA/9J0On1BbjtjPxwe5cU19Qq6anvdjRCKQoLfF/w+xqED/Y
tpPr+zg2SSG2UMZeYX6oo804tta4CU2Ds1+jDYnaTXDbceWasryP7R76JmFgnJVQQTTvulrE111n
29EJkbzZ3leRrp0cNedbCu1WbZwuIsIgqXOaR2EKw4vBffcSq8UMhLYL08nQDYITOsHZgNw1G+JM
I4MUWJWRgLqyZA//ODWOELrtg2G0pCU0Vjx+V5pdfOlU2eywbU7Z2hRQihBW19ldnDrBl27wmkvm
ie/1pKk3GXt3YhxJkptlyPhvzEp72+k50nbZja+T25MEIrrefhWd3qDPh79+0O3QCVYxTsRdaPTO
XUDT0L0JFwPkahK5Ua9SRw1bLMZcAEb5dpdmXitWHFTtASRunjwimRhPeDvCJx1BJSHtmcANb+j6
AA1bDR+cIMkJ9QiA4jxKfmEUDZIQ+75xyFg1UPq1eScPmoYoZgUiwH2u0Bk9TK2dnobcwRRKLjc3
YBkJxIBED/Q7+AbGYwem9pLmkgZHqqE73xRofJ6l0/OeHcZOR1s0okB0Ri4ovmcih8ssq7+4dpKL
w+KSr9aBkw90rTyCz9eKefKZdLHuRbMyWgqa3vAGQQVk32qYaRFe+GS+KrSeJ6YNDHpTRdadWEON
N91opy/kuriHrBAYegNnTlh7C1BEA78aw1o5di8eP3/b9KBz8d15ww7VrfZSZ+xQ5uTqj/jT2fSo
+HdBXHhP4Txqj3rlZbd4NkKk4FDtaORY+YWCi8ZzyXT+g0W3vU4CAeEXXHX71Pdiav05tspXLS2r
g8c4l8miVVn3Mo4QCLIqau8F0/AZRpZOnOXoASsDpOZyVCD8InsjJm2uIKT0IBbQ1GFkS+JS1TuE
ETp0JgWmutCLDyfCxfjFGAJdrNQ0OHeJlUTh1hmAW6ulCiP4qkxvvMigl9oGtknibyiHU9BiFXCT
JLod2giwdeNimlJIJYiay975riDjYs6qnnAFsQv0Lfs7qed3SO21ClwDsZersDaWOJEKmr7mpFhZ
zFrTn6oER+MaCZxz7pdEZEzEjhPuwR153dkhnwSOB5nerU+eb3utM27l9nQIlcfdEwXPgU0AW+6N
hMWi9W+vqZKqJzgO9i3gOAYIVcz3nihEw0gF5ss86qyoJHg1dx3W2LvBDUALwFgxtza1Kk98GOeH
OJpwrDMmrdeCHY47gzY1IpPO2Bql0cFD7FM8PbPecqI1aE41iUquIV/RfQ/dwnybDad80mqvXIKx
G/3KViOfCAgckHeMUY1VJap4b4yh+5bGmfWVKQ1vK/SS9smDA8rnG+GEdoQTfmXoku3trPOeYj1G
1zjDkmu01ryClZVcsommma/JbKZ3nRDsZokKJI1t5PEqT/TJ2ZXIns6BN7qnUbSkzBHI0SZ+DIDm
dUDShm4OXcz3rPLyj6BLrCORjuE7eRHTtA5pUJzJLCCuzNIPAPDY5v8zHPx3HAPUctYf0oX3cf72
NXrL/utfAEV/++HfqkfvF2Ci6PwJnRCuLv5hH3DkL4y8MeXqOAtAwy7/8rfq0frFlNKwgCM6rslU
kcLyt+oR1qjFMJ6sL27XZeBo/5XykZHiT+UjQ0tIxrpc2KKWYYqfxoOmQ7QI2SUuVMiADqrTTPWq
8ZBrVgDQvnJHslzpkfc01NLdMdnKsTgHrU+nNDiYdm1+Yxsv9mw6SDmRCHS5l+9E3iavmUqdbTnb
FVEcbVp/rVvIKF5TN+tsmMIrjZSBOxce4rZkPrHoMFv1zQOauRujxrkjnSIeNrC6xdcgY+i0gocV
bVH3bievu8SJyE5C92CxDHZ7qOmTA78XC1EUg3blXesdQRE0jrpnO6y9bylGXIsTNNZvpQXdlnBt
9IZZko3fwlgEr50MuuPcJKYv7ZFpVFNGe6a3SORNvdhBZcNCbGYXb4rda+K1BtJQk3Jfkp/n11PH
0asWHIdIeroZ7DTaeAnSwVWOwnkXZAUTw5kE7cd+LsuPuI7tS6tr1rF2u4e50T0S0Br3xnJqsbQX
cVGYdhmwlsdlA124VcrZBFHDxjLlSb9zp2lct6WZPjdEdBwpYNtjkZpfVZD3lyCN43Mc2ZRxpNcS
PlpFB2tqnLUGtVyCsXPi9wgTwxczCIkbARFxDt0meK9GFlHGvJIU9cluLzlHmueSnenCF851SqT7
ASDSUOriaqAdUPiOS/4UoSCUoLr7fRSgKznHkSGYkTpBpuKiWWPdJCYDdsOcuR2VJRhDbnjBB6UV
8JvNBDwjvPvI7fTnPsQyXNtZjWiwL2mWp8ZSdjd75IO1P1gel45TkkqulWDCJLPdcLCSk9SCJ5cj
ti9jI39APUdzv2EXa5mWvUBcSfed6ZbrXjj5dZxlMMmUC9PD7uEqKXPIfSdoNkPqmL7JmYq2fvRB
EE3Aya2o5JUBL/KAj2HFl66fKwYk56GcvW+yEuHj2BuEmkDwf5pGMzu6UWA/DAWEytUIcoWKV8PF
VenmLd0NYKmah2MdnyftX6G6Cudxc+0JRXJvF1bbrkrMqxlm5TYZYJlw4u4YJJvctTFktseMjO6a
CeQy/8j5zLzE0H1NFd3rLKPypLludbcMp05zXLnwbHFgWiNpQQJGBSfBXTU5zlNaMb7hYNfjaSVM
TU1MamRKR5yD0aPhTt5VxNW1a/yr8wbMCOVtzWDwqi318MaaDUF3xlpCU8D6hySaKX1HHjIhCIEO
smahRjGnL766dPQ9MPxavdekElsil93NqNIb0NlfG2M8uhBf1xpBl6bealtVDgwJrWrvkpOxRhnx
ENWaDz/EPNDSxgxhRrbm/07F8S8EVIvy4oem2SLV0AWLvMFUgkV4aar9brwWOFiiy4blgGICxmYv
y2UUXBVFxO1YEPib4UYccrxFTfGcjRkQ8rJW6krMBiiuEF/pqZ175NZ51GGNLWBxwhinSUwy1Rkx
c/Fc1oQ/wFGMLUIPIpFv2pae8IoTYgoSbnme089nG5+iJQ5MjYR9aJZ1YZCMIPAnWaLYdEJLX//4
0p2lXfnDtS9mNrGIraQD0pnm5Y/XjqKARmIa6jtDhsS0YIjNU+tec8dXxMfJCq92t5ZOWJ8d1Tkh
dBsmOm4/VtwNqgJcqIVSkVU9RyUCgDlAsm2CriDQuv/gpBg+RPk4HZx62C/Ru7U11yOTefXqNu22
jDjxYhA7mpnp4kmNv9b1WDKRMPKbsXPVgYZp7aPexuZhNNHRrPNcoDrva/zOqXUoemXZaz3V2w2f
IybNIU383u5hbHpjftPhc39F0Vu8MtGHWWhnxbuJvecKmFl9lYUq2kaDke/KdnCeUZcHB/Bvwc1E
gvsdf3W2au7i58SwouPYD8grvNYlONuWuwF75660B3Jm3GE6QPRqEeyLNtiGmKzvJ9SnNPhnYgd5
2wMNyDTapgwXdmqQ9jZlk91kFvYl9iBiwTDsq6cW1LcfWl71xBHf82tKnO+27oX+gqA9dUMCgAKH
6omibZkO4Jd/0lppXuN71+6tBqwXmNmQvQUVyUedlOOTTcTfk3TKAuRsrW7cVPZHfc6NvWWI6BzU
utrTuTzkuLvbPsLsWqp2XcMtasHYGTTIhmG4HYcckCroJ6iwmYF3X9CVzaZu9GkCqvvOROFN04GD
bmmY76IiMrhkaAsbL3uM2mRABDzLYWbgPOevuV4Nl5nEzvOs2ggcRTOeCrTt59wlXJKDc3x25ESl
qhzX2iojmYgJyN1orau+OsMSDK7pI1S3Nk1tgoeMcNrLnCgYKawCWgBGJw9a2E03ROXFJlrUj4Da
EseBCGK0He82WlaRrA44rjgHbCGka4KrMPGJUFTUA1BlLZwuY2Nru8R1EJyzTawnliqQue4mtFm9
gmUds0IjuoUArH13lxWOsRfB7wql8wAiVZCOg3Y9k7v5c2HsPhdJVgrhd8vKqZY11FXoLEjlNGcW
gkgH37mstzAzisdxWYOVKcZjMZSsuZVZT88Y+92tOUys6NCt73posadZN7pXSXPLL7HDUJwrc5t/
bgzJskc4y25hZAb6rHTZQ8gfjrU9VmyiTaCosAXpXrWAkwCy0Ds0audh0kt53VSZCPxx2dfomYFN
dYkdl7tGd9URKzTpk8s+2alk9skSYwctqtB9Hyq80WvkYq3FPhVXJxDVPWtom9f7EuD7LohcmMrq
c0vHe8kXO2kYcrCu9FsYPnAF54avyPk8NUzLAULjJDEvRwr383CR2kOyLjpH+tFy7tA5PgZeVINs
XLLagsx1N4HWjac8A0cGRWc8BJL0z7bI813F0cdnSJ4ckq4zkQGgPfONnuj2YiyBvlHppRdpNsnB
akucpzgev0BzEFc4Qd27YjKCHKxGBOMzUt5HPVfmzUhPDxx819/EzRQ/asSQ3Qc0kxo/1DvnQHKk
5mvwi5lV0q6h2PQGF+VAZF3ZmtXtlVanF850xKINCM4Xf48pb3J8ZEfw9PlV2wEJWlVkkb+Pqn/W
6X/6HoE+NLYsXW5zdCs7lyr6gWxpdwMT2jwoDUoI3ku7xxlKH2tVNfgCrFRoN3IurYNjj+I+T4BU
YG2Qa0R63B95XD7AwoO5UuoqO0BMTVofgABYrqhHuxEaVcf8cUyaC8KecGP3g7fnYKm/j97cfbXK
AvhASz4kwXQ8aNthwFGysul21auQXKwvEx3sHWY2nmJE4fHRsSv6TcrVjl7dD/s8GcdjArv9026A
mre2Q9JQNf3FGN2bGXH5g5XhGRtLbaHmBDFEdXqOfGiufRtNZvqaWDbwX2KLrZWl8vY9pJf0WnVg
mXVHZBuvTIMd/+VdxyWyWZK6Ni08hJNJsHq40pw2YyvX41utBn5WWFnZ4ELkFLgaJlvcxFxGgCNw
LW1i9srKXhy8H7qp0ftsy5hqnAOA5lfkam5diDZQukz9uWxSceynprtIi/ZHaNBNHrBq8cMOTFQz
SrmAAlyVy4F9w3jGxtZhHz1dfM8H730aS/xyY55RIAVlcXCUdHnaCR1bgYsJ7+j8TztWHg7WQao/
JWPsw63PnwxRmc+iNro9fMHqyyBl8iVodPXBGJ5MVKw1+76dX8kzfbLsDB1lgozzAFPhYtrDdUIH
m0P/CD5qHG0Q/uwVPFbA9zaQUD2L/nFp6ydFK+Tg2i37bpDKIz09YsRbSGSGktNLrHGf6rMwT+Og
dWiz7eCrqTAWh7abDGtQYxzr5wI+xDAisBkj8a3romDniVrb2sZknhGixie4qOF06gqtvLNRLzxE
1C/jOi7H9qNHl5CsrbRxzwDSWG360Erui2pgMDFjT1gliL22TiIqRh6McjzEXj1PIjgK30H1wW/t
47csRhUTOJUCwFbkPD8N195nwQHXXXLCtUwGBRcK/DvR8OJSjlyndhPtC1QQm8HLGrKw55HCySJq
SqO/OyLg2sWS1weN6zznnARj2JKTd8m9YtrKyiq3ltE5r2iZDJi1cbJCPZB2qzybeGrVpNuUoVFC
Lm4JgzxrXpjOXWZH/770Lza9ERhvba8510xs2R6rhyZ1BC25qG3uzFBN+W6I4/lbwkxpZUXuU94W
HKo79vbZLAzUYGrYuXrdrKbIQl3V2fSUGGE+teFYk9s6sRTXqlcsST2kGWFiVXSCHHUTI2vNz7AD
P9CemB9srEQVIBeXzAdHnsmuIziCZGtIowW0TrIKiZsMQvvCCMm8RWzX2r5olVvsPMfT7iVb9Y1l
FMN3kb4HSGKKAdnMitzUyL7GnCb2Kk45FmnFJae7J/Ta9hWsSofgv2Rnx13NKgLQTI6N5ufy20SU
VrIFpc0shHzkAt6ZY/gVM8l2oI3MgfDUQnWTevfspq/lfDdFaHgFHb26MJPviQyv0jQvMPtV+q0j
g/qF+4vNi8HS9UDA+CmLiupZ73vmAXFGF2Ktsc/uPJ7ol1k2w6Ode9ZLoKfyi80gad3qjTgAuUqO
7ATR2c4CbQ1DzMDxnOWbAnbQOknCQ6tQOeP5dbDIdlDJksq+m0CfvUrawivNDXPQHyho0cGKtVNg
qd67rgJKUKGHeqbtR75mURrW4q0CFSIkYJF4qjeC9i4DZG+8N7ug2kmNfNOJdM4tFpxkL3B5QXnm
JAtiftr0sTHuOUOC+wM0gM5PWXpwI7OiOiAjHbdh1olNCp3nEa1jvOtJMiQPuqvJ5FPePsxg6TM/
nDCcBbhdeQ+Eq4Uk4fUkGT7X/bRMUMcwXBdxfhdiFyxW6GLmbb9suECzGcYZ6WOmTdUR71i3IwuR
A1kaQYVxEmp+tBcPHo1gOO9VSerd2JEqNWXVksHmwIbJtAGURJPyBMLtZsGGCtEv5vlkxVsp162X
8xN9m7drcC/W01TEDSPo2flahYW1j1JWiAA3vd+0mCKxZef7wqTLDQ+T1BU3TYJVUrKa4f4eQABJ
f+pSxsNGEFwK5haFF71LGjNJStgAviUjCk4qZ9gExMragHWhi+9CL3LwGSGOno50+NA8Ku+Ounxt
etnAZ5uPKfLwIL9E5ESu8wHdK32CeROPMqJMih1qczfNTpEr4aEVgXEYVGnAlegTDgxN8T0KyGy2
B+wnrjVp60VPXkGmZUpeFEn6zczK9KVARIbEOTWDO6H1HmnxdnZDrdISeIPNjDBFOkvMda2nRBP9
uoV+95LbVg5FOCtPGIPJS3GqZF8xetnrVpztRA+4vbCKZt/Ew7oiKUQfE/CgpvBmhqKJseMJsx5b
yrUbtN149pnkbuKc3keE/MHQQ4vhenoqTXkcm/3k8nl2hQegu1szOHTvzKL3aJA7yRNeTnGo0yxD
eok4kTakPARDchNa9tD92t3+Xx1+5r8qhaUQLtNi3TN17ycvzwDENQiE5e60aWo2hK/aX1XYQ8So
ZQEv3lPUv1Y2hhgtCxJaFeMlIjCjSrtFSzO9285cqU0mZLSZoHIwW1j6lfR0AKR0nt4ZaElngSb0
s8OpEyxfkkpDg3CC+3+MZQnolGwh7Pr/X7r2u49ysbk0/2fRkH0tq0nFYdT+3x//2vz6d5yZizvm
h79sPjvpt92Hmu4+gBPyo79+9Mv//Hf/8TfV1Z+JuPBg8OX9706d04fCqfODhuvXH/m7hgsYGKJq
g2khLpjfxXoR+MWpy8VQJ/HhfAq1fuvCG+Yvju7SmReO5Tq2JxFh/9aFd39hJKzTOjJMfpfzV7vw
9uLx/IcJkzkRJq//x96ZLDeOZFn0V9p63UhzOOZFbUhwEEnNCk0bmIYIzINjBr6+D5RZXSllVYTV
ohdt1qu0SIWCJAi4P3/v3nMt3RIEj6EoM+zlRv1TP8rrEm1IUx1FErRSOygB+XQlx+M11Vh3KhLw
d6y58mgbc7kXOW5NBnZptnZz5JMYbNoHczCxnhTsPY92xT21FqIoz7IlRnnluakLsJBj05Zi2b0U
EWLZs962h/hUW6p8M2erOzYF5dKh4zaFjVjGXb8NzYAxHlQGOyXQk7juVRNX+DISlHB+lJOgQJPU
ylnCXBuOm5HUAwxdsn3IVR5HKMNa6nxDJpKkG7Qy4wmxanCcG1V3dEuF/aDmQT4EDgb/JtKGS3qP
NJn6mXhu9OjhodddGw9yGjXgOhiwHYgAmC+aYgBtnWmCU3cPL64/yDpg+j3UHL4O9hTJW1EMcHhS
ouoz+vOzwikEXYvZIZijAmYQ+InLyEGvQ2wDpluSYkyK44aGwHBpw2JoQImZLUalgIUUxXjK0J89
fcSB7oS1WMdJXv1Q5PicZKfFnDviqT6h+RYWMwHaeWsbTyUuKdTkt8NMB4ojhYRw0rZj1rI9tvR7
Bo8OKCt5lb6l7NrV2aR3WelPTcoLmFTPjyJukstUC7w934x5J9yk30NTmeD2T96VHBY5Rewl9bhp
GlF+k4ZB+31O8jHY2WGdHqp6FCHz0XpEPJc616kS9psYXSPedCxFDHK6kUvjhi51P5z5bAPWXz6o
Lu4e3NAyaaAhOHDR9iH/WQMHUcck7+jcRzmu68RVlPZVq2OQNseWqETi60e6p7yCb7Wizzdo740b
RAHl3gpVfN3kZluuep1FVhcRJ2AVYW5Zp54cLmgeRkcvNDKgh7r93SwipvvBbNERDnpv5BIEs3dm
9loy+cqKSX+h16fz93T7WTmdQVltCwP67ezlIx0CszK3A20qaz+NGlbjCbae8DvbnHsffL/zpJg5
1SthgNlr3HlMfZJwSmArLvPolajq7oetz6Pp808UAOxFxWSWIT/dbukq4sp00022wiiC67wfKcuB
vg/bdOSDrfA3oGKaiqliYixJ3V18Ku9dTFz5mZtrgmQ4q6t9O0vKgtGRGbmgG4w2v/W8GHKc01GK
rPoMaNbClq6T+2r2LjKnGzcILgcHjYvtVUch8VIQS7zPCAxJ9qIRyX0hB7EDTjRvHPi+p9BrsuMU
wa1WoySjKU4HZzifvKLVr/U6Lu/rgVNiDzpMtxZqiGdwrDuYXk4OBV6MNmuIE4ax08z0DLlTQHta
56JzgbK2bkFQOkbkCMoMJqfqFWzDfJI9PZY1Sh3cARpgnOneMl3m4WqiIYv+Dep6uu07kdW0/HDn
LDPwNH4NNBXdDF1hv6bZoDhPhi3ILGC7xXwZI7vHk8Ej0209q6L5NSBtRxtFc9Zwz2yaEvOlASpz
PtfAJt23U+vgvTBaq9viGJsI47Qi2aEOaCeW+VXQRK62jMI4v2tKvYC+OBYkjG0+cIQTeFfsmsa6
sjoKccvi067+y6o8oINVRxeaHKGrRvbtTq8Qwv2vbNvn8VtdNuWP9vNG/bH5/mMX/7+0uTP7pvL6
15v76SVtopf34fv36tMO//vv/bHDm7/p+GzJ6rEX3h7zjb/bcB3JBF4XtjBdrLDeh3777zu8zg6P
wRoVNlUepAfexj92ePtDWk0DFe0tnfd/Z87+ZeBkL/Gfjg49UreJCaVw+OLnsoi9iWqjYAI45Acv
x8s+uNkJn8FzS0m9Mh2BmnOhTNTdLnDhP6KqvmeiKE5l0z8aQ/LUVTUylXmZj/fdvlXtVRIWHCxs
fVHeahimqsZc11b22Lp0JYSXPg5WyfM9HWBcSIpQckJhHK/lkFz+6dv4J+O0zxqCjw+Hx5jyxXDh
Gbrmlw+XiCxqSQ00/ZHkI+AAKIV/FHV1JWzn98r2X1bsX1/J5Ju0yMTCXofe3vSWgNQ/1UkhfhWn
ZybkY2cj2wQ+TaGdSJDz9Sr0f/6hltDWTzUZEzfU9Zw62a35j/wCVgREPuRQgjUcUP0bpk2H8Wbx
0E6cFmtPB9pEfFBm96lPz6LynR5Dr7DNfsXoLEJJN7R7DrI7M3ae+Ft3RZGfa5acfcuqH0NtOJa2
8yIj32RNQ3VQvtZjPq0rIwI2VKjTZIY1FtIYHKAhDsyw8GPSj8Yem44bU8SDHwXTi93PT0rFz4Zy
sD+nwvrF5f6wGf65LuXDwyAQFgUuAHoMC5+vd2A5UT8ZmueXrruLONHr+QidJ2q3VUkTr3yscvtF
c3uGtDTCFkGg2efv4HK+//zL+Hihz28EUKYhoc5A2iST7ssbmaIRRHbIQQuzV7zSlQJrpDmPbtjU
PqDat6xLj2ZC+y7LjnU335XWdN0HibMzKi1b5Z68Nrr6dumcojTfmaHzMifhcz7p2zmzbn7xZv9S
zds2+lqXNv5iGmFx+XzVisSl04cKeiPEzFmaw7kjhjuzF7dKs8+rNr5ruvKMnKT9PGJYVOIeKT2+
LxONyhgRfspQE/iKw5l6PYOAiWyUBVVt/uL4+5dv18GfAjaZVg+PEhKlL1NwqjLHjmNHAy+Y3VZu
Aiwox0dIZUu2AweCAPN/ngz4F2yUqWk9P/dqvp3yetNRnv38on2NNv7yXr7GnTPv0DNyOwI/gHwz
VmKF7Y7SwsCpIHfNL1/uY0368w21vB7OHUQAfFOO/DoFd0jzcWdkFb7RUv4iweBo3tY+TDHuCvOW
vFm5dae8BPGvEZS6BHkSdXHGIevZmWhBJQnCkXDIMxpDxWPQQY2GL5onzd0cZ+kR0UK2hno4MkCM
rz0qaJ8SZqUZ88ltG3Of2FhvSRBWqDolLt5S3wxhd+QESxe3sIBwmuqEfS3cBlNG6gbRHfsWx9gG
YuJMvws0KPZpY9Ma89XPv4jPSyxH0eXCSGHb7FW6g4jq881LuAl2tpYvYp7NzWyG26S6GBMXns35
z19I/vUxgZODmA01Jy9kLMfrPy/m1ox8jFo42hiJgwI8/Y5lntakCxl2XqAvXhM9JONwa6r5rO2m
G3IVngI3b1D4BM91gDLfat4Bq60Kke7rTN4hsTgfy2z38/e5sII/bQSI8D69zy+HcwGqLZSVSmnv
26dJH7a04nFCJPkj6fFi5dAt9umKx3Sxo2aVjcV5PQIscCv4/ECkmBLPwGDNRkMgr4y9kcT9ed3U
uZ/IId3TaQp2obLNA6Gw6T2CdhKJVXvRlxw2zKrDek5OxkqTFSI4oHFrG5yHHwGbQ5O1oOqGiTwM
Fecb9HfdrjDLh7FNXoJoEd6RWPE8Wd29JLXQn6kcfuRVn63HIKy3QafCI9aoeQsL8v7n1+yvNxHV
Dq19SivAVuwgn7/atPUoN4zC80MrQD+Usgj2QDCcXVDJ7c9f6gs6aLlhP2oOx1j6N+h5vuzTYyJU
1xil5/dyNg5dNz8ggjKOVY1wHrkHkEyF3aSYzpvwB+yTYY2xfmHascEObQn2eCI+Dz9IfQVN/Rdv
bnntz6sMaC2LpxZ1J0/T17IvS3o9t9A7QcDIDhM6bks7zurbL67A10plUYkKulCo53SHjtSXK1DL
NOzApABfRj7gjs64n6w49eHu7+Y4WpoK3c0QVtVLpqxvyTBdW42BqpMIcccsuo2a8wptT1xgWxuv
GDtEJyJRaXcSGPiLguKfvVPbNT+w2ZjVvS+LS5sYAQFXsItdu2RVifNtn0Bqjej7hAD9CFRytoIm
kcvM/ucXaWnlfvomUCRK28WZQsQhB7cviw1agHYuwxJqcuXcB4PDElOvc6/0jULeYHghpE794iX1
f/aaALsXBBA7LD2fz0+Bl0/CdPDv+8zwdpznEXiCEzhU9Bt9GVPa591blPbfgNAQcmm/yFlG60B7
bWnUriOtLC/csSAPyCDh3KHrdPfzS2L+ZQF2JcW0R4HroCjmKfr8/kZN6cyTWs2n0e7H2HUCK9gG
CY8LniUAo+mMypabaBglkzMylGf7uSnrcdvawVONKgKAsXlDJ+pHEkXbfBTbELryCmDdooPdAepi
qyJAxKvKN5v9FkNPuO2Jhj2Dn7ibK3M4YC5QpDg3/jR2QOas5vuUi7tuMp/0BlvfVGx70JxmiOa2
N+r0F9+Qs5SNn+6KBRAnDFzmFs8Oto3PV6CIGVe6ZOD4WM/uZG5dz265dwpCNapqzNBB4EIibey8
GsNsrQf8n9JakiCyZgP3+aathxs6NGwGUCnor5jrUdZs8A4OVWwdDtoGP/eaYaUbsGOatl2gl3Sw
BgK5BmK0UN5hoSBpMQ4CsL0l2T2he9sbOENlfA5awCej6qzGmtonWMwGQdeMfsc7QVKV30GuqbvY
73mjusgxjo6nMUlOKSl5mGqsl75tfc0wcKUXw65t7XNsizvFGWQzeqlDbI49b83CIOoHM36pkQMr
BkhJbT76k56O24g0bdjdJHITvSCt6m2ow8sye3QAPcft95/fjH/ZZF1QWRzSHY526OG/rgydXQSF
gyPPN+RazXvL2fflXiFYKf+XjPD/lxoo9E+4nv+6gXL+8h5NL//Uq/D7r/7eQ3Hlb7RIOPZiIBT0
wl0eh+F70/7tP3G6C91YymWX84K+nIX/aKFAMvuYp7CMLIJ7ZzmS/9FCkfpv7EiSvc9mc15aL/9O
CwVb+9d7BLWqbes2wihO5sKwlqrjT6f/WGfQPadzs13U0aYv6jDaoW6OLmn80S2xWv3BBZ3LVBlv
9Ck2pkE/oOZtz9whRjJiyviyBiujOOFM5jtbJBDLoiUOPihDaZ9Q9XbRfcgmMa00Uj3vOUBKWrtS
+qNmiFVDVrbCNfbNsUpr3UZdf1kV4n6mBc96URBFY1X5XTgXpLlj17+sRZ7sJY3lgw2h/awO8+4q
T4m0XTGFQvYKziavSCwiRgY7T7sjdaihO9wW85EW0gDYo3Ona68LekyQsZ2VTDrUTQF1ZL7pvQaF
lx3N+W0lXLraSVz3t7le4kqczYFUKI9BKt19U0b9mQyzXq0IB6zeNc3tMAMTT46jPKfTeurGwvMO
fSAdZzOhTauvpymt3k0imeIdeS1pf6/pofdezvP4OutoFPey9hSKZoeOe5gMGrAXz6th+QJrzi+J
viqGw6xZ/Q9YzS37PAOD50x2+l1pyxzRVuBeS3NCVZskZxHjMO1QaVEldlj27VemlGZ/ZtiMK1cq
qBXotsgWMydjIhfsvi63ehKaxIbrDHJYT8WdSXToU5eZBHorDWCwaJwLzmuTg0tckbMTDaG5tkiU
PFI8tbuCzcQlxrrOd1wVU1+3Fi7EDMe+t1JxxdrTpwgA9DY8GZmWp8+ELNo3oAc0+t6iEAeNEf0K
eRqaBJKbs1UVTPhXhBHG66rDR4deF1uxQXPfMlMpdyy/zgEwfHgyi/Sty7lbaPGkKH3zEmddHCa3
iKNJjkLTvBIZn7tzAxIqSeyK1qE5li+iHANmb53xI8xy9wEPATe5LtBCPEeVQ8BalfVrJgSvBhs6
kaC9tk9GC1YMGRg7AX018ltYOEe7zW8qzh+EAtTRybIm63ppYDzVdRafhwNM9E1GWOdOtY77Vuc4
6lH+aNkjM6Su4whiIRW243AMKRwlDraO4Ir0w0cD9yYC03ZoCkIgHBfR92rKwuaEdT0mFKm4QQ0m
NnGpm3RfklauGKjcZabZP9Wmg5yg6rnf6YlakHz6JnW3bhm4xl4EpMEBXeiih06UUbyOARVz5Ia5
js2C2dNwJpw2QnvdzTh6ylwAK9WlizoRFVj02AwEZONzDdtyW2LhHk8KXB2ek3QReQhXkmFIHKBU
lFuDDpw21p1VZdf2k4ETHs2fGzpasAvyznzAuqe0C8tsopoQyDjqtiMNM8s38T5Na7q3hrUlhmoS
fjLyRa+wDlkpz7oMi/HCVE7YnSPqRdOqq4SQPUzbZnETuQMs8smhX/jQcne5K+Fk7L1EmWBbiQcc
UOti8mDtVTNWHLyd7R0Qd+vMtYj1uIWdRGRgrLVe8n3op+rUo2fkwaapiM141rP7mjcq4Ssl6fds
aL2aCXNQVwTi4u3kdObg0AXxT9Jv42oMO/HiBz1JgxmBHYkiK8oYwk2QVGlzxp2JjK9aEp90rzav
6yUFqljyoGxtLOSebq0XHzrTql8NL6uxF0eEFuIKZW4a8yMWiVF+K2zSp5SZ47cQqW5usyWYyhKV
ouJ1Eco4Fhap9QzwRHKAwfK0QiFEpBULpNOQ99qpcs1HzH3SKAnASiOsq5y5U7qySVEPT0Qwued9
ahUPJVZkBpvWMF10S6YWrHVvXNUUdhvWoRCgX+MNe1tvh/PeU95VoLkM3N0lpSvR7PHaIvJ2bUYc
D/K+iLAct1YC5mAJ+AqU9DiXZ6N+BsAnPrakZWGbqdUdgnPjAS74sNVr3Jgk2ttnHYxlMrnYInNS
FUkVG0PO4IYmR+JcYw16CCPYbiemzjsRP6OtkY0ZKYb7nCRRs6gutbbsXsSSYBZznr0nXCo9s5EE
bZHJBzfslrG7U7rT3BG+Pr6SQmu+S08f7oY6J7rOKm49liUUqMrxmk3Ul7dJZ46kf89RdVB4tcQO
FUS4R5Vt+KSNWDtgCkm8tsy2N9YWY7po60KgroGs208h8jTld0voG+E07g8CVbpVEXOYpFEi9klL
Qpzj5EA5SvQOw14gS99kPTE8cPPKfZ73JdL9ZLiw8EXBUCN0KNlOOh+4FaH+vYIvc+qCxIjWskCM
fAIrMVd+QzLWN5UNGcFFI5h5FEaVeVaZREgDv8F9XH4E500wyZ4tTTNJLJ+M80Sl3mXxEbaH//2N
rbk+4V0iw/cjlA+OeXWoxjQ85jo66ZWaWKisJcovjzH4rVqz9y55L+0zKl1BZHpjo8vAI3UjHQaU
8UdKYEBeYOMk30kUz76hCEo2Q5DH7QXfXvEkZjHTcW7xF9SttSuliQyzrN77JbgwWiIMqVzGbOUV
+eOko/JQnhaD/C0hZxZ6VwMfK3ueN2c0fH0JUCQtiRFz3nnTtQ5fsbrFeKAdpFnWz1IvuMFCs1uQ
FKXKXR/tWA8Wzm7aV1v15jPhSv31iPLYOLOiIn0shzAMLyezJTlFJGbxWg5kRgbkjKP0GEvkFM1H
tOQkEi/h4NY7YIImgvkMa4kHxgMT4bymP4rI1IL3wr/GYiY0x+n9mqhCyByKH6ZBa12bCRI9a2hY
mfly9fuRgL8WLwQ8iDW/naPhDDl4VrBHdlDj2h9LRCyQhJ4/iyWA0xqI4kSDX52GJZ7TWoI607Ls
51UDYTvyraxPvmVIhHfREvEZL2GfZEmjsq4/Ao/rGLQAPWaAmHbDZjNxcZq1k/a8wz7ih4uo1NvX
Sd4k22oy5hf1kUKqRmN6iZdo0rYZHROxRY8sPnRNBZxznKL0SsfmduSLRw8h+fWCbjHOtRU6koLg
XHe+oTCNiLrDQgpi3w0r5nXZbK34N8Od9JLy2Uu7nOfNKIYtcoVYRy+CwbGFXfRUlC1ZqQhMipd0
sqyjGXBUNLqugZVYk3TomlpwDEsCMGknWymweiI7QtbMaZ3gDHpo3VC9zQKi6cooHesijixOtx7q
IsA203iqm6q4Kz18Pau6LkEXuhCVmBPGzRm5unSYpRmWV6z6k48VlbQVip0SrqwIwm/QGpZ1Z2CZ
bCRAJrSxZGHWAUWTP5XE6nB8nNSzGydsNSCb5ss6VxbJiIhgX9q2JGLpI243V2l6acSSCYczkB+4
JlOaYG59Sehta51JfIM4/Vs4t96dp6rUXXMSmC/iKRL7YkFv+/S8zEcgzH10mwJWulJmZGQbFhj3
vaW2bLFkiinYNuzMV0U4WYcIphu81bx190ZpaGRFOBGigpBrthcxblOrbTFPWnrtXMckYzgrtxjk
LcNWMjfssLuPYJre0pF2r3AzU7dFlmquM9la/VZ4KIUpST6Sl9veJiCkD+3b3vbiy6SfbYo8NyXY
w1DpG5oZ40ZVLNR7+yPWOdYse2P1lvbOipds2Z/tLRyL5LszAUakFLK+oYchERqzoH0jOmKiyzmB
v+xFBtQcJWmS0BH2DhBZnafU6eerXNTaa4kZ5lZ8hE/Lps2PRT85Pwi9i6sTtrUywI1j5e8wVNv7
eRinfTZn/REGUhr7JometDigLZHpDnpq8uOCVWivVG7vJ5WQmhtOWb/JMN7uRGu1xxzZ69qZYtKq
FEr4jT51dbcuJPByAZmVdMeMlKN5ieYuP1K6nclRDpKyeNwSDlOdaBk7Kenfcb0hlTs+QuoQZ3re
PY4C0HOwpILPSz54XEj1HCyZ4WxNmL4iJCExLkX2rtC8jlHLbCysBWi5l+xxweIF6DO6lwSV4sKF
D8VdiKSH0PLSMfeNbdRnYxiEG+W22dZkKrcDqllCDpmC72Alm0tTlqx/E96KVT1yOsRMuStzvG0D
JQJyobEn8450n6uxsKIzlVTNVifOfK83KNNV6HRvQ9pW14TyML8A69RTuzjlncnet7XdodkPmRc+
U84069KLbuKCpbmB0UwxB05mQIKzcvoywBWI6RF2LtPisGtO3RIGv/h2/SEe3jg9tLQMERKv2IlT
2EhD+54qJDubZMigqSRgsBIlIbwUym4PAzcImWNTfawVsmRwnUTT4Lp8mV31PpMhzJnGDJbtlNNY
FRX4JqeaUE1NzjuOQPT0oohTbczs6NyLrQKoNyEqCqbLCjmt3ILLBPeRCwDSahzro02c+AmgG6I3
jYw137VqcQn9n3k6kWEQGoM7bvtrGyhVP3b3xjyYVzRSUQHC0VjraYpsFqjmiq+zX3tpyGBNzUl0
HsEvStfJ1GX3pTFGDwJkKJaTHBWhV6hvQF3Gl7hKxyt7lgTLChhU59NsO3tbDuZZGTDK3YmxQZUr
knF+Ykp2mVZNfZmiJ9sFzRKfZtRUgB1mKZEZ3TNVJ5HKqWU9NlPZv1Zzc55HmTo2WZIDNBbZzBJj
hK/SC8RrSLmxdrux3GLwdcHGafOxL71mEb91tzkJ1OgrlOUzeey2KguxJyElts7gm8sL1ALDXetQ
m6MQxATT0aF/UgF8qVaX/aYgc2zVTkbz6hZxCPLTGY+WFwy3QWgRTua2YouBit3Nts2toRH45BKr
lkKcCkPS5eqeEDKqkSt6iI7akDmFFans9HyjNGXh90i7AssiZBK2cB2mNM5IDHytZlTPbU7x5Eda
1/9gfNs6GNRGd1zrRHpxMmnpaLfsJu+11PCGpmB59skcF89jWNOe6AyZBStHS6rwKk8qcR/EfUn5
neZXZWLIZxlp9iW4Wv29SZZgrtQkTwainG6cdZxutjbOWiZw8xjfp2ocLKwUAANuq6opiv0YKndT
QUCsNm6m5sc+qiy8Vao/G7HTcl4YjeKKMEFp75cGyUtoafqmT2f0Y2Y/EvxomJgJ123Rard6Mwky
cXtzzf5S3UaZ075I7JwrrdHzvbTi5zopo6MB3rzYZF2IKmSgz8K5LtN9BL3WnXKmFiUnbtjzcJx0
WqtFDQtINnJ2dpAFDG1rjBp+IHfIC/c+UbEUu4pd01g1QbaUjOFpGKptPBDSg3nc62bEbGImRbD3
xI9KjN2Fi4fkQRDii14V3hvMwdZJHuMirg90cAokb6SPx7S0xuygOYmR3w1BO98iCOzx5I54i45l
NKajP0dTvokHbVhPdCV2reE8ebnKvQ1zSn1n0JxzWJFigdVZt2Dwl039TJjVXOIHRECZhvheOJpp
d5UbuCfNnps1JSTyhq7sn3nk4vqCJd8mzb7Lk0vCSs23LOncBzozAoN5U1JJV9auSLPqwvIqQCR1
iNc5RiJ6gsYB5seLsvdEq7Rgr/CZLtGLdYopYzZGejteXlsrHSh4vDIqicvZrgbc1gTcDOdMHAg/
RN8Q0o/IVJMyMata02dd7wba/uFCrmpKEp6zaFHJxubI494kgK5XgchbY99wEktw3hLPs+udXvh1
arXO2qyr7tEI1FIqMyVhz2my7C6lHWiBms+6SyLuAGnHOR6XdZRzY67Yp1P7oKzcfAm1BkMOwLNx
nQ5TSoXDFgX7HToTgtvxMHjVIo/Uqwc7193HGUPCuMLRrl2VLtyfdYPNoQGL1UzIFlpKWHIdanjt
fUY4QYVUPJi6huMdfAoEPElbuYzd3PDZVFO1I7jHvsiCAv+KJDBe27ZORxB07FpvNv0PjUk1mgbb
zNKCVV66j0mjQZXQbeK2EmUbVzlDln2Wo+/lDjaym0KD5DEEhiK2vebsgf8lBJKm13Zx0hM9RNmq
ch6SHLdqtenzEi5AIHOtD5nJBnmFOKYOOuDDerJLe8ccMSYG4xOSdWfmk7jNfTc56NTtboRmPjj2
jMsrbZlIOd5EA61PqZK7LNLvXJjP/cZsXZs6IQ2No930kIXRwScvEgk4fYt41PTtFOpCW0Orh0Po
OQyRk6Lj0MXtaaN9CEfH0nGnjeEjI6NmlxfSPtAQcWICc+GK0q3N3guVy/PCm1CaZ4ShoklunNq+
jLuwvYcpnzyoQUDz66bA5mMyaSL0UQO4wy3W6TjZuFUO7RTMZIDXrkJs3ofeXR7XnOZHyfIz2Xry
GkwDyvROgmM8sU7E5O8KveIGTa1cP3NHVRe7kPBMA8Zb382M9UbnrUZw/C2zJSSsNMZHukolLb1V
3DpApCKb3iNnAS0F5FUjLCEQ0AhfSLNwjoyzFhczEeoXaKfgqjisnyzYSUiIQs76T2ZogbDZt4p2
dtZZodOwwdGtBJqivrpg7D0ONGnT8ckOEjQljuqeeJJqeaqFIAOyCpvuVAlJiMKgOYx/NKMJ38n1
TKLtKDuGw2CJNLVmW2JdGYsxy78lRo9YwitnuRJdq+w1wRGWudJs4G+mnVYbTTY4bfpKTKepwOi1
nCK1cI0gHnL2nJVZspFRPF9L7LTVzqUyqjkyeY2vUDJ2+OTM4HwYtWBY1y1hu8StItUf0P6yoIoF
0seqavSM+MatVg6iO02DhZJncRSTiTBV9NHiWtBMahyiFldz5LkXzYxDHNtCmnMEsxnmBUmCy8PF
7GxDIQyXfNohpFk0lbzhUBub4JxYTwayWa7/6FPNvakZ4dJ5TGyAnRr5Z77APpryGGfQdrSsqotN
w7IJOrdV2nXIUcO9J+F0AmTQ4zx0E7Cb7qD32pZjvUnoLlLx54yCzNoksYxvstE1SdorLOVHgxPf
pJk77eFTRf02Skfnvoq76jhPfXi/5Hk0q8KtEhInssdKM4JNGTtOepawiWyCxXIfKlJdfEKVixcG
Otp7GVfTXQJ4QfPBgzLrB/TeTsclXLlejW6WX3CGHN09Lgx62WnvvVHM1a8icfNvM2G38RoEeLPh
sBYdNJ1hExik5RORYmCsDNuGhBdl5nddUwh0gsnYjjQUjrR0zHViWN1VIybZ+VpeGvpqdoZ5jxo3
vGnVUN3g7OUJSFKUtJEM5W2tGtbsdsYDC05YH4+R6qotUQRuuAXg30frXGvoROlVwwg1MDsj3rvc
vgmPUW/Qt8RzmVzQbEin7Tzr/XyqFvXxnkRQg/FM1LpkLGC0PGun6DZSpo3HVZ9eBFkEhmZCPxIo
LV01Z8MbAxnFSUDJR2qy0WJvSyL7Fos/TYsydatVXJNuWEvdvaMWDWcYD5GjrQWjKI2yTakHxE3l
D8KIqEWNmj7A2m1E/h30gZuusexkyFtHmv3YPgi/BCa3MnMWeirK2s53H0PH/0eQ/8K9JpGkM0r9
1/PZq+4dpcf3up7+rG//49f+Zza7YHtMYaLGXYjiiDX+mM3CkTPxYlvWHxY2fvJ3fbv9G4MYVFjM
IUiUkqb8n+GsLn5bJrkcaQzqdu67fyuG/quux0ZCwuBYsEIvtZ/7RV3zD4OE5lpPAUgB+JPFivgy
9gSMSqv0w1/sOaeqMN7+dKWufhdr/EfRUfDH5D/87T+/Ss2+vvQXdZ5MdEjcoiHmnDD4VRhR0EXJ
vK/S4HVQ1FA/fzW5fJJPihFUVjp+QcNCzG1K+UUzkwQ9+REsnAiXYD6EKiBgInEqIphkup0avONk
YO/4ptUmyzpwu06Px6mCJtzb3WNfwnE152UFTa+YaJwTQr42usyi+R08qAXOntK/J5QlOer4bTc/
f/c4Iv7y9lHkwU9B2W5JbqgvAixZU5PYTD1JkG9RuhgGmCFOooxae3PaaLB76P1NQARSY7zClhjf
moF1KcdlQweMxoarHtOZjiSNsifNLE6RYe5kmb6GDls4DZwznAkEUwz8XZljvinceQbVBjuwjNgj
3UmdhUqKO60QRF0EWb1nkuqzqXCKu55KsU7gKPRWdGNayT6chlcKm1U6RBuqNn8M+nYdxuk1sSo3
VTYhDX2fapPR5Lh6HuNx3kHPnXxors55WXvUMjoUbnJduzMEuZD8mgUe5PJhRgziZq0bO5nJ8M5O
xTUlK/Q6j1c2VJ+dwHZPL0neAuj0khHTRVsfOYiOK5M+igNVzat9U+9iEq0JpTDxLe2Fk4ZbUCKj
D5XOO5gExZ5cd0l98pLmaiDbZj/nDTVeU7rPhpDOOmRuculadJQ6rwImV9g2vZ/A21hDJF8ra+6/
AzYRh14/DjIaLgYyryK6h02zTYy03BJGNx8KMqTpZcxY/Qp9qxVO9R7HyXsclvYZsHGCrCVbIiiw
a62pANxO0SFIsycg5Qdlet/wO0tA02ptNVNNn4pfqJIg3g95kPhZ3qhzUjY3Y1feORnf989vSMkC
9OlxckH3mDzCeHMcSTrdV4lcWOqKMkDfdFlWMBEHXFMs8lfGyuy21Q45n3EHaHo8zVGnPUeBpTMk
+G/2zmtHciXLsl/EArV4dS0iPFSGyhciVFILo9GM4ut70W9Vd1Vjpgf9MIMZYIBqoArozHsz0p00
O2fttZfTcZyJ5iYMnGf0EOtZx8RNlQp/xjqcnpzCLPeYoOXaj6RJkVlTvJI1V7fBGJt/rn+E//9S
+1++1PDr/tPf9hL6/pfyxHtV5x+f//pCu/6Svwe2qEDkbcHn3AGx84kM//sLzSGSzRuJoLaLos5c
olx/f6E59t88ixxVBM3JK235uPwDNop4C1KowS8E5YNet/87sBGD7v/0weR96gMUL9ZWj/8sybB/
Zo2WVZbPdLneK6XlobMK9VFnPtbJEGMcXIg8D4ICl5LzGrP0MIXJr5NjN2KTISiNfN3zwpeQaqrv
qEO9RZeMsYO7YkQ85OPZKOoUuN4AsvS8+ORWrMWScf7wlcvgK9s4yp5W/lidsXe7ZIWJbwcN85wu
yi4YPbu1nrMXu3G/OXwiO8YMVMhW7G1cWBzzTAAC0fLu5aqebbM8sJ5LLzNCEpxpeXJmt75ti2m+
q62g+lIFD90FnP2cMtwi/POGO/KOxs52DVCplinsi21qVCDIwNYuSdpNF8XFb69SpHVn/qkxI06u
lOhSvrVJrZMrmuTVreRwNOrG2QBe6o2oq4eWnkGWWGl/yq2pwmwRjncKdeW+gRFgyiUba1w08+o+
5VZyMAq/PjfJoB4pn/JI9dYY1FDM2fRsc4HvxvEpo8fuIlN3WNnEsfZGFdzbbq2f6dxIfkSZdW+Z
P7gPlcn9raE9hVID4azHrmm3lR9nT8DHNjLv6QXNvrhPcYjy6BDeUfGzPvdVnKG8DuuXIR7NPcuM
RZeUUMKaUDxO+vmDrGp2oVICoSiSH4sOJS4HTzzt6VFr05+Y9jTwHnSKUvnizWeJgI9kar/8Of4z
5VM4IygaX1O7PRSpB7luF9ustawHHRbMpsK8uEdTGb25/tjeWFPrnukBZPCp5vLbLUzsKEUH/MBo
yrtMcDeXem6XVzRZn6/WU4LpIV4ZOaYTmEQ3nPCSxZj6a3HgSc5cky7jo1Ub9q2Ygp+4O1v2G+JC
c0t8MXqS3JROpSflZgbM9GjSVO12Tib8LpXR1uhoLWQfXFuLS5TO5BmNeXq259JizMVgJnEb8Upy
eLqUEzXgianNm8kWepOIis6AQA8b/N4kicH9UCYNDB64PLXyYKYxU5da99yV/T+kIShcUKxxhC2i
HRfbcZ029njsectcCINSQ4ofNmIAtyPJFO54hwW/osLQO3x05YefGrD/MmM15uFdYa+aWNu8Qx0l
5onLWU3j5DipZm1Mptj4+Pq27pxxjESuc1v5zXSwhQr2JcAOc/jgrh67feXUjJnCub2Nw9jdeHR+
eb2/WvZz+znRqxaQvMvpstITQx27+fTSaW+5ZXZOPIaTrTKLhxYz2q5dZmgFJRmuVbg7n+HYnqqq
GvjdDN+LbJzoWjZr/WBlYnj06/adnq/Pek5wb8obnABfua79+xmw+tAai2jVqmIePsvviOPRWQ/W
gL1gfhyk+0iD2oR6qus3HDKnpyTCnuAMjPNiuPf1mLH685pLl83j1qesCymtT9UV8ie0eANzFswL
+67wzTu8Qv26mWrrbOLiPTXoDraqb4OfnpjDzm9857ZTDl8mjtHbGO7nCTU2P9XRhUKaonEtteZG
i3B1x+e43obWtMRe53Z8TZDcHZ0gJ+RXcMLhIN6cxsDIlmmA3Osmn45F43FVtzjHHSlHnPcU2sz3
YTJ7uyRwJLUeCXPpeKKkHM/zairAyTwYnJXFDnhfRILGszjAbT0pTq3KY9gMHP/ZkpvAWVE0003f
mda6YlHEorKJXxkfzWsu2mwkowGbphhrquaHkJqwqP5k6tOfOanRfxQV5iNfcnIMWcqijuOgTweP
PTjP/l/2okVkVFydRjGJ/4uE7wq3aYb2Mtc52Ulmgt9jVD07gxDbdsr2Brl35ojyULpNsOGF4b3p
2nhQcrhMGX9ypGgpBBb5sUW8RL4nf4MwnbdVGebswHpsqw2xrbgrI/BRZERbp0vpv1iETkFPZaJc
JE997Zn3kiahwlTlKk0i0md0fOOGu1G5hxrOwZ9VOO45nxHlUWj8VM+a3dLVH+VRSfLEhibbVGr4
LkKnOAxNYm2okril7PEhd3x3U+TGuJtD3a0zSYNSTxpq7yyyKsfjCe4tAquRQTGzXk67TIkfUh08
537bRyvNb8C6r53e2pzHBt7dCoW+9mOAgMWWZdL6hCusY30iEaEuPq2ME/yj6bO75ndfl6Gmb4im
y4Knfpn9cpzgYlcJsDv7Cfwl1Vb2hrnyFmtXuvi7usXkNSL8OAaL3SvmT/7qLcYv6eRQ+iIsjrwl
DlRKtE9JiRhsEir21pZefGHVog4bF4mYWHRiAXLHc4Nw8KeKkADxyV1eg/gfy0VAJrmwU4cjo0dJ
mRwRCLX1TfVG+colzqvF/zpfrCrhGpPavGYxnWEG7JmliqwxGR7yUMU2cUJhwCzZkTeQFuuKo/Bi
iGNSnTvQtNxDge1XvcidllQGVIY190dYA3CIsL2x3TBZ8f/1w3Ir8nZ+XfBTLNmMPTnJIG7a8Afs
aPhDgX18ESPr1yH27LN3lbvpq+gNT03/MfMa+slnM9y0ixbOuhriJp+ypA1er/kXU2rmaFetHINg
FHNDmYkHhBD9Zmq97tZYXHQeFRjeCsrEfOHRs5QrIhaWokbLaE/D3lycdnMIRKZYf60niyGYgcfl
WIXTXOE7meJ046TyV5sC10oR3oWGp9oVu4yXKWNn0DYcURKz/aHOd/zVVkGJ2DigxsUteXs7ThU9
hG7zMgb6vqlxl2CCvlBxsfMVM7beUW9W3z3TTAM/UBfOA3OVZkfwc9rx2sOwdbX/TYsIMF+UgA3H
isQrvvLU3UN1HGYJI5gFh6Ef1GYYXG46s1vhi16KN7aJ5oEh822Te8DNJv5UxpWTYT4WZvrFC+1l
6PS39Fw6wwbvwsZW7BLLjdb0XfHZhfLkvcspLE63Xu0Hm9yfp9tWuuY6RrmycSZXXEhZ7kovTlL6
TgK5iVJXXWhZJmPcisFiiZm3m5wdzi8ev+HNNEtm0NgH3S1HeIBai1Onm17MpsjOTKaNTaYH5yDQ
1z9wipuemrwkSqIH794KiXNV+TcyQN43o6vOir/otSjVrZ9LurxS6n+kR0Mmrhm5Wbwqp9jO+g01
1uOB5kpzDXf2kU9+C1qCBYx6MV7RsfDBzbGuCemPm2ZOvRs5xNY9x29xCgNtH1pgNvSY+bkyRvGu
2Hos+H64wbyYIoybjIE8dc8QHcXLXRRbFvR58xGWGGO9qGtJ31bxagz8ozAoRZKifxN+9yF0420y
m5H/VIm93wNGxKZlvHpZFb7V1WBsM/j959rtNpW/3OC9KUOfyo/uh/0BfbyZ5T8M05SsaTNDwc9i
Up7AH0oEDuLA1YLk4dD7/FCr5Abmt70PQl5SSUNBXV+rV5L24oY9XPeOe9SiY0pACLNQM3jwLITk
UMCXIHvms0NnJkvbeD0kEWbNoKBJxHO9fatV/FxPqXigUTbciFTEj07XYqXNkvbIGWx4bOyyfu2S
jpV0NbBHgQt/tI3KXCE2Lr+bygr2GEvrP1HbxvtxaN11KDhBtzg3byjCgU2mwq76YIUAU67nnNXr
ENpnKl2zpyThlMdqRmQvxCdcHrWt3OAqTC5WaZr7xKnMi8UmFSsPjjg/lfIYL8pqRE3J7xqJ8opc
gr1hE119u0JFFxb83stkWcZK9YO/8jEjvNMqkTwWIi+fGqJqpyEMod1yK9P86G3MidwEtnxj8rWU
y8u1Th9k7u7mzks5sEl2iSmjGUOOwyUgI7H2B1FfXMkyvDK9YEsz0s+A7Z61AXrTXV1OHN1GJ94x
BwvfrbFzzgm99Y/D7Mvt2FvinMjc5/zpYx/qPe83V1axnask+mn72N5EXACP6UQLnJ9k2UVbaXYA
teVA7tbi1FAdyVvDjXZkBEILJ+B9YQyo4BNO5mEWWafMsLyahWp+sefurjJTG+2iRyo66KsT8n3G
hy2tjj1jzBtv6Io//EHFNo5oBwByY+hW9uBeQzn98eL5q6esahUSpVm3iHU2Vjfid4ysReSQ8Pyk
E+kcp8lFFwUnRyu6tTEdbfzQ02jZvew1W4xMw1y+N6Ge10QZgtulSL6inXZXmxgtGlsO5+WSD59S
/7Bt2YNBR+emjybaC1MEwBBkL2lqGw4boaVUm+/cptQ+SYOliU2pzrpxOYKthW3XzwkH+Ji7nH5J
TM8n92w+5VMS79x4R+PR3ipEcaIK4yEf/E2QDDxcJo7kpkk5szXh257Frk/AqVAR3eWu/OTjSUkg
3pILZAJyjqljC9jDog3YYvbdzBCWnV/dAmfyQS3RQqPy9O9YLb/PqXlJeH5uabk0l7NBRm+8YWx1
a9hb7nnxIWT9uSncrHvQbZmxrpPioGU0bw0vrw68KfKTpdndCl2Fd2qe3L1kQUqsPbnVgYMwidNo
glhUWcMKSgVArsgJI1lNjE57juxX2+bw5IZrV5SLMqopE5ZkRrHm4HtIm5siDOGVEz3cMMsjsxIa
o36SXl6/V7HNl8dJrZjmkHo2VnEagCGbqRjNNQ27D1VnGY+j61U9ZlJXg14t1nKOmZ6GbC7qS97n
Fmbhuru0Rsk1F7M/TXmFCFfwqwREIDTfFFXDLzb85lZo7i2rPmNzv6pq+gGAsq09vGi/Z2HpP3b1
WJym3ldHb2q8R2d03b3Sdvfld9Q8bdgoZ+9NE/VfY0XJnmxbvoyahyc/mugcE2M9wmqHB1Ri00r7
boE6WNL9BFH6xl16eNHYPp/Y9bmXIrBx11t1M698s7tz+Dt9sCubfxnWfS+JPfy0ZW5vuQlhnja1
dUfbBamGMY7WruNo5gYeq29ZG9Ydb1trW7ms9Dl9VKtpMm6guQH3iSLtUFGTTrKEsSrLxT1nExnh
mA4FczHbKHgKytHYRpU9cOBuqlsca1u7m4nRJB5PLJ1kB3/SBfAyxFnUN78wZ3104CvzlBmrfMi+
i8LNj4HoKM+g/9icRopOnfFVcvkJ+Q4HjjXdgon/buDwTqzT04f/LXPP/4dilIvn6b+caD5+5B+y
Tz/qfxlq/vWr/j7URAwZ+Bgj+SywWguYT/61pPOjv7nIkZa0sYVS6J8lVDQ6WYQdmcT7Nk2tzlLY
8Y+hpvM3xuMIqjzHwURpkiD/h2Pz75sx9Jz/U3lS6P/nabtF5B6XRYhuMnCC8Kqh/KcAZWO2o1Eb
vdyZFR7lvREvlIFdepz2ZMS6gJE7HIIctfT30ZVPEGwYanpXwRZkF9FwXdlUB9ma+obBGZ0bH4ow
W3PTgXkIhq7FRnxlIXJV2eomgpBQV1aiEMHQ76fOYRKndUvkBdpuWGPFi2+x2nUdYbjaP9ImiFFV
qapi9D/lxTvFdePA4RD9z5bsFCdAYjFw+2YdJzdjqP1PRwi1TQLYj1FHGOQLa74VRmhsq3Yu1hHj
zW1L1++jRuHxpW3T+JiuFIlZxv5nVfT1m62SpGNWutAmlRcTZU9cIBRtBvkrfYcwBtRsst1qBxjU
Pf6p8Uku8Ep25VjMBWmh2TjetPM0vjuhC/Ey1GYLny47E+LqysRc+RjSgKm5Ka/cjH9laDR8T7zS
HSjBCktxe8eDV/BAsVT03l45HDJh7LGyK58zsEdNVsKliQYOz3sPyc5ACw0psW034nsupbM0IF3J
HyNYKKAQLT2Lrxqo59hYdbeGaVSvSvUMHey+lzZK73IhXseu2om8zj+dXhU3Mz71e+Zz7ndqWeNz
pIhoLeQScNIwivrUFjMBGacdRupZh/aFvRYw3JVpqjwsmat6EvTDmLPyXtIrAAW3n2zEHGULrOs2
j5af5IIAiBxf9NCX99S3pg9EbHLMJHBxB5Jucu8sxFX+F30FZBmEEN8KLCtcCC3GTro7+dZgGWuK
GIC4lEFDwAGpcf4BgQ/mRRkAyJcVtCDMQMb0nE7wL3QDm+YvKZYuxjj0p3bF4RBIreWlsVT0LGRZ
dIXMrryZKofxna1veANoCDSbXdk0feXUUnrnY45CPjgyTsXa2Q9/wWwDd+4tQuSFBG0MTeiRukTu
Y/YywQmfi1xyGyg47PD8lxXtvbqa7+MrPAe32rAQxMuYLWwdDuH+PGoAx30Jl0JjoRXW77WN8Sq4
wnlW0/lfbW8GG+sK7zF/609ZPKESN0dwz86rhy30p/8eJTkb8crKLEZwiiZGUjcqAuJsbVhasgNY
pZHH7Bg6qJ3ZQFdh1DSgC7nnJ4/ubC+1KWkevZlDJl7xvoWfvg7dczBoKjnMBVlEL1JAkIevSmeE
VBuHG8XUW+4HwT7GhwlpEp8Z1UJCRgsUKep5mDaFUu6p01CelIVxb9txRVFvXpPKT9pTuFOWV9qy
u5KXdjEr51BMNkRm4ptLGYipwe1in/PtWVwJTmgkaM4U7EGvR5/ek/X4F/F5pT+J+SLCnEfX2thX
PjQKrTil+zNclthmP8HZINDDu8QH9qNxjeyjuLKm9oKdMvOxdvmCotZ8w7lDmzL9gqxuLsECrY6m
Ob+kkUIjTV2A+9UtiGt4pV3HK/maLBCsMddIpGoUC5bZRDchoeZnPlHofSpCmvGVpeVlMr0Xairp
cglhbTuTNRJLnMTee1ZfsyYO9FfeueM+SKQgRgW0W1/5XZVbiuvLletNSn9+4mHjVb+KKMQzkRvh
xb7iwD7nh5NM2uINdp/1UtiHoMNmWRmvYuGJobBMZvDM96HH6PFecTSGe+L7TU2m3Xz3jgBPLq6o
MhHCInxxrwizuuLMLM7ot3SvmPOAThl73RV/7hYSOliY6PCKR1sLKV1xwdm4V3xaXklqkOqkh612
Fsq6t1v1US7ktVoYbHuhsb3RM57cK6INJBXoBaAE3SaRbW/RgeoPb6lFPmQL5c1GAOBbA6+x8eih
wBcevEeq2m6tZgi3FnUN9aGLezd7Mt2KLmZNZ98L0wbwcpWGJe7RyDkWow1+Xrgz509cq9Y3c8zg
jjSX89swdHVvTxatD1S7v5RA8Nk9TTVMFWiI4qrieEP9O1/497r0R9o1Fioe7ha9W9Y14daYBdNx
TXV08CtZaHoATLvaeBXhee8v3F7iOljH9EevXbYzPWHo2GNH0AQVAcsF2ff0RMmIN8f36or0B1kM
3o+PhKeWu1D/cuH/B6eIDyQTzZ1dReXaXXICxZIYwDhLq5SiZIbwIkVEVqi37ZIxiItevcuJkQv1
TEvezyXAW66W76GxCsug5t7fOXewmI+K0NbG8cVrk8D9kNQxwHH6kOIALz5nTqcgDKX7PaY5Gn3A
yDViEWoUdEuL/JSRqOD6imvxhxzgZ5+4xt7K0CL3MfKEtWJkjc41Gd3XvuDCtW1aKGGiV5I0LtvQ
wTm6vsesl5FX3h4Hl+j/ik4EsqmO4dPzm5QTlbFJUKp5N3YhCOyYht9NIxqyfFZvvaQA95QukCL1
DgP843iZ+fh8x75PTHGgVJZAMJjzcpVrbtw+Z4UUmfmBCIqxtbUgEZ8yelZjT7sWXwi5KZ0sP6JT
o505z4PHwiO04Om43KA1Jv0VZvafMIv79zJ05GacJ/lpkIpdM1pwM3wveaNWrhf7l4DNCvqvobbY
IpRzvjK7usBGljeG8ewSX6S2ZtBZsw4LJeqNLTI9XwRhEHtb8YFBQ9NCsG8Tyu2tre6S8dhmhnMR
wIkZ9KGTNFuKc503G7ImP0azI3/ChUaibWu4Otko8a0kpTA8EXRAUsEM7+Zr4SyZ2uh2mNvoxsRi
MbFWVOln1UqaarvOoItbp/1na/cE0vuomX7DvdBvS+gUozLb35lypiQmAsFlCqNAb5JMPCY+fbnV
tTq34Kd8a3Uk9VeqcAJ/ZY/+qajI3bR2w/WWKLd84RBF6BVjoP0lxdS9qaZPTyXmLfqm7JCoDy+l
8ZJABPEmYR9vrINrF7B0rPxOBUtDsON7Pck+I503VtF3/g1XsOpI0x2tJIqHHcGGbnn7cUEnUDMu
LcX2UlhMEjaz1xQshdSTlAz7ormhbccJgrVHh+cxJA37lg9C5Qcc6OJBE3VpNnRZ0pusrh3K7Icm
xCRWnNzSukROzgHO/GA9IB5s9JqPsaT+hTGY37MB0TOj/ErZfE60hz+5cEplkjfIN93S+Kyv5c8G
B9MHb6mFVvHCxcbXtmge495LMXAq5pGRQv1nJknubXhtnE68vPmBDgMDLq7t1MlwbaqmnoTok6LA
moNC/IjXfUpuQvI15qoRS901Nw7WKEWVBcTiRM5ohQc0Zdnx0ptdXCu0keRRDNtM8blWWm/5CnQ/
NJNbj0OhU7mx2qh8SJdabluY0Yu9VHXbOop+lKPN58kIh3O4VHrTlwIIHi9t30OTq3eevxwXXNHb
7roKZQ6Uv5SED5UZHk1Cnq90lQC9Kt4xr+AnbY/5nfgQDwEzL+gAzNjTudeK8gTxdclJ2WTvY7J3
C3Ft0AV+YN9A2/m1+LzRqXPMpO2XO0H5CwVMKW83ohmpoOSVJVl2mnuK1T3lQrgpd4GasxyB40ZF
ZfRHs1P4kh2DSXhIVdtbKnaTF4SlKVmqdBg7i3I8ku9rPr2pe8qgwokfEYvKd948UAaJramJjI+m
k8FhIo0RYvadSw9/Cv2y/QgAxXVnA2TThG+sCazw0SPCwlqeTxriQMzkHuWpsfrwiI3IKfHz3dCT
LcFIH2wT8uPGfqRi9+jwfeKDORthdUMwoB3ZALraucyA+t6SIEZQEXq/TN4386mIp/ihiDgT3JfK
muuEN0KU2DeIZ5BmpGz1y20VJmprm5ibHcbLWnNTKWuvYw1Wp0KI23RuOB6R+legMVZbuRckcXV8
8iyp07twCJR/56PHGg65ZE0wojN4wPAtjJvQ40zya2L6Nu8jMXnOTo5zmh1ZKWaEnpK2qw5eF7Pm
JzE8yd/VPJkfUZYX/rL/9eLfhZ9QXhSMiRXcJGXvxChYsoH2KgSTBGhs4gIZObYpY7eUTLb52/G1
7MkEdMjSBSZDQG9vim54fYvhUISWOrlTZZHp8qR1wKxW7PuE0SzHQH98SmuScscpw1yySxnAh1Qa
qyS/bVzKCdfMvBvi8IUtd0TmtbHpk8Hf4z6I4pPTwcTs2jzk3UXdUhCfaqEmYZPfsE0wocYn42lQ
byjfx4LjdivGqbotF+6XTELqzdXKH/qwPVEwP1HmRuvyRLi8CtIXXlK+PBL6rTnmmMNww14nNKHT
M6mrZ3IKbv5puZZuHhLVT6DibQaDI2JiJ6b09X0uoug953C3tNVDAWwkfxyyVF02zQcrYTNzTqng
odIPlbDLniDod4G9yOTnsDPOWVW8RzmLkpVA4HyfFrQhUC/d/jackYFxac73uUwecy3wp1IUhQa2
jIbSXs2OJhg0+rT8ZXgsz3Zf8ZqqUyP+A3Bj2EcryIktMWKgd74v0+lrSjrHOUoEZxxYTS0RX5C6
VBbxEdrrabW1PZgk7QjDxclfPqoE3fKmJgZ7Tka+sZxaIA43cTgxn6PEXn/KIFSLhSc0KYnzu2oh
D7jXHDLZUdgpNfpJmTgJfx/hshMps4Rhou+U9i2AmE42/GqTMXutTWNDf2dUszZMR3REnQlvitv7
W/Doz7ajsOWzBCDh65W33UdFd96R/IGBfTqIackspVr31WxRKpd4aJjmynPuaA11HtkVu3sqO6pj
zmZ1Rg/Ej8Mf/O7M57L/xU8+OrhRQr1D3wRWsx1meWzNevxIpJm8TFPWv04i6fM9mS37pB0rOFLb
M0G3hVb5npDMohoMGZFJ0RsKus2gvdYkU0yH2iVSClgHK08V0Vmcji/0UUbnkOVktRoRNwygwfEg
mP/3EXqP2BebHqsOgjt0AXoz4EDiiS0i/y8G+v8Yr7n8g77+UZbzf0c7DjA3GCU7FJuDhWnbYAz/
FZh58/H9UaT/PMP8H/4Gf88dmH9zMEQ7eNeANRlqMp38e+4AFtNZjGyo3/gv/+SEcwLEbxCaePwQ
wjFu/A9ME4CTfzuEv6bjRBgx3eC/NdH0FgzzP3B8w7Z4nAQm//eveKbLDou6nD49cF2qdop/eX+V
t+w+0e5W0MGsredzYNThXjmsXM2ePq3GDlPFeqDPL5yCDEpb+TLTAD6W3YtHLfxFRuH0wrdlqQnN
EMftOpiJcpUNIqLEK5cPQWG64zrI+cSvnGBuMvjIBCk9A3sr3krq1JieEqxPPnWojfaouXrcSttz
TgR8hg8dT/Vnm2K53HZu3iIOqGkDnz1ireuSmat5oIPS/91NRcJsrYlGCuhhXExOmrxvj7SpwamI
KUUio1orF6c89LOHsQ1IzudzJ355gaqeVMgNzC8Um8xx6vx3G+jifhzREKxHbRd6TZNrWe5spCnL
rTQ130U+Fc4qcgxCVhGR4cexJoa98nKH8YJnjCeIRvdET3ny6BnE+1l12U+2l6tXM+68+8pIq0c8
A/4eGwIPlJKuZG2ONfWsywNKe5QDsdURWydheW/7gxHutOqwGyW2Sr+iYeTv0ShlGm3Zcmlyk8Uw
n1vDd/6gDxufTJHMP8j4K6DvpBXvs124d9FSOL5NZR6jcXUZnrBwQZPM6Li/T9vIvFA7xCA2GtvZ
44Yx6X3BE5hdH+uw58DyjReB1wjj7BCYz6GyeCVGvpggMI3SvKeuzv7MrUGwAuTMZtl9kVD0mMh7
ptRGs2raugqYMMfRGRC/v8lr9l+0jnT1ISC5zSu1EhGzaoYNvyu3MLqN5yr5A2Mw/vIwOw8rSSGb
xcAFbU4QK3QALVTiOmnqstz0kWvv2WfL6M6LVMmUdKIOb+1FGi3QZJRNxoUrGLNVxZDV3YIBGs6u
cufgp0aw625QEHjcj/KaOTtTvdKifH7xG/Ve1/6eWUy9mTa+cx/dRn1XMUchy9hWJPp8KpEHjNQB
gz9+sOR4MtBkfn6am9ra4R80bjjypI8eV5mOn76fvFXSif9QaBhMJxzc8U+BfILNJzOyL6x0ZrUi
AGzpvVPFMx8pXEjNLuictLnXpW3dqAidBDEQrBTpMMgv5iHj1mD4V2/MrOJ/Q4kYN5aRNWgslIp+
u2gI83uUb0gdXOYfRwaO1bNgVPA9eXP2PiZFDCIR0fW5oYhweUE33i43DeSsLj2UxzYNUljT3EfS
mhnMQzZ2LdhgArf0FtfbRO2myGQmjEIn/Il059ubQkbWNgw4b6/02AcPpool/Vkay0tZqfHJKCP5
GXWefM1ztsLuOM87T0l6KXjx+TCfXaQfsFLJ1wHem4HsQJvzbImdLlnXbIHGKZrNdMx60Y4YgBhN
6m7tti75WVQNXb0zwtdXMOiCqlKgxi3dk5LxYew2x5pGT3tFhB7XLp9KNsXmwDgjxSEDQBf4W182
+ovLAiI8K1dBtOba1t+WRTk90p6ThrsmbtqYzsJp3IvE8PZWW5rHgLKjegX9ar13UTF/94ZM/K3d
mxO7yt64VUGa3EaS7upl8hI8DlWbPWltMHRneW8dzcGfDy5F549ZOOg7mXB/ZWZWG5ukUfVb06TB
VqMZJqsZx796JJQZ94Nk3uUFaAJMTpsRRzJp55rdMP9dZ0NzRw2ah9QnieATx/Go4m7+RvPVhIw+
08baF0WDl8DHbIMdt2jhfly01+xR2uI9IHQ+0F5rMV3xRuQVPMP7Z/52ULCYhL/vYF/kWpe9mE6G
Nw6AZ6F0IqK5ecM531DF2pTOwEWc3qbP0nP8X72r+BByNI1sEk4i/201bvvmiYFdgBAd6w9bub1H
9GbxOiNVAbftAyYVe7s12xeZW3nxaIfoY/grcXjoQGSJjUMyyj6n+WQOG82Pfylz6sk3+S2X74Nd
Do577MxJOnetaLvbZF5aNwZOZQXAgx1dOhGUn2OapH9SoyNLKs3sF9MGqLSodHjdoBcM9zmkFP3M
jA638USVEUmkIDu4tcmkyGjEeHK1GBmKcKI9MXElXORpskDoj/F5mrmtubYnCJp1GI/3QyvIgRsE
yPe6SvH0EMnd6ECV6JAryyOL4Dj5jQNR4K3tBoEC1Fe61+Ndp0aogJSyo3bVSWKyU962W5Z/NR1c
wjVhPvwq/wxEUW/xrZyHMRvUKmd6B7fIv+FD2wTy1SnD4dQbnDjWCbxNChYPwQCLb4LqA42d+Np4
zSucC4Iut5cHXNj7XpYz/gVOsWXYReferzg/FCJyV2kdlafUWUzIVt6JYpPJ2GPaMc+oCwzP2HfW
oxOOD7bVRIAzev4ueRvwos76X2VdhudkbsY1JBZYRi37xzpmluvy8tk7Se+c6OL5CDrolJnBwGEe
nORg91I+O6PnHMKCwpVVWpblqg8t90dkUazXTamje2VZzo56LMWZOuAuZ8V9tfWhzQ5xZM3IXbOM
JSqeW5JSjuhv0BSalP/ExW3p8SBH/FMDCEBmNNi6QstQq963YlRb2rD2Ml+kBXMmiuOcyebRzt3y
ROG5Q36tz88s7dyzSlUoVlmr5Bt3fI7sFBd8+VNsI62uXXHnAh4/1pUZHFAAEoBx2zhmWGfY30xI
uSpLq34QOYNoUc6Zu62KxD2YXt8+o1TN9oPir5+cc/qGNZIyG4SNLB0yP0EDFuTBpS4iauOy3jO3
HSWcCGh61DP/Rt6ZbbeNbNn2hy5qoAs0ryTBRhRFkWos+QVDtiz0QCDQBICvr8lzTo3K9KnKHPV8
XzLTTltsAETE3nutuVQo1guGw2dKpO4nhbx89HpvOjFygDWkixx3iOj8iL4FhCZBot7NJ0/E/YLH
loaAkzPaGsrphW4rwiihq+RXnLbpuYoN5x7Hg1+tibVvSa+WPYlDcBiHd9pbfuSPbfBkuHSoWADi
5N0nGJkA9GycvhuYDr4Xg0sfAZHM9CrD3Nvd2JbnkCbIXTjp4ov3qx4Z2sw/yC8jVXyRc8fxLFM0
8UeFXjacNTaCvNMi3wCWDeyVJ+b5EiQq2Pqz0K8Lrrqtj63mI7Q9jhqyK5Ag912s+1Wsega9dusk
Oy6VvreSpGd1yGJ1yRS9eY4vHiCpHoN5yOo9EYkuh1SR1Z4bQ7MbeqXig1QwqTZBONHyKq3UekB1
436zfY1V0+5MrO0Zc2ZrRR+dkhp4W3DMCOOo1o073bQ3OmRYEcA/ZNRht4CYIFeod42oll5lloLs
ypYyPmWe7TTIf730wB0SLgjGsv4jQY5kr7QIrCtFJt8/hHpcPkmVD3t7qspX103bK8I+3L6Keuia
zy4BENaYrA18A8esE8HZmgbzF6POAL0OHktEPYxgWABtBrqrIlDiaS6HLI3gyPHUadWlNTzORWYb
y6CEeQxENcZbaloXw4zdNBskNzJgewP5sWnYKsaTnXUyJlq6whYDlc3feRYa07JEa7BZwNkuqyYs
3S/YwaGgmWBYL6EwwAkGhvkZBOUw7JHDs5MXSvVAqhCJogajbpZAdXMJUa1nPETl/2WDPLvCN0H7
HEor23LGpK3jYu9akMVehqDuNspXLFGE2XnbmVNbvnEB1EZhGqDeMgf0257XxR+hbu2rSdJ6GnHq
DY21qkJRRpP0yCaOEbV/lUjxOaOBjwnhaNNsGdtma8T1FCmM6YpJErp77uzBiiDZNh8OTD77MR+T
MopHb1rxq+mxMUsyUGpkubhHGNPQhlHKJiSyTR9joK8HpwiSc2FW6Ppnr/MtKiCbaBvlaOKkfH5k
8pLD3ikYqzvyFe1FgDIvjMuvhoHgVTnlXHDUKbxNGbdwHaAlb/xh4iKrydj3jrrlqDqS/EiTE+CK
9g8Mwrrv6W2a3It40cRKmIn8SJHxH4tpsTngW8tCTqAVfs2uH9PXxVA2nWgnGs8jymQSgtJOHBIf
SRlbu+XZgJGG+I5Wsvo5Q7boOatYyZWdGwiHY2e0OxDtHxjNQyybpgbCl0GvZmx9wH7sIVGi7DYC
y1IAZM795eDmab4yTH+IQjQD6C264cSbdu9cxyZOIOtxuRdhDSMvI6Rd9GWz8nVMvmXI+G+d+5jT
prwYro07GAjtHLhMDNOYDUH9yS6+SSOObnuarIgsEUezsjlOiSKObC/+wTk13Jk8k1Ez9F0EoT/5
zkCg/zGbpnBWRmZh45rt4jt0Jv+SLFYHQMat8juNgXu3GGgYZrpKz9MUP+Lxs97Bn6UXwYgDHd7E
dCD2xHQXtKPeu7JMjp4nC753LyMLtgyZz/sZgNTCtL+14NtZo7KGcJ3MqJxtappo53zXlcgv4Zr8
RHNk/hAsMfuMYymQVAYnJ43xjJvIoThWY8XZ1chyou2dpTw0zcAh2qyy5rlJOPFyhPMePW9yn9wF
jLrvdWCUOuFE2mvo6ie5Nz63BkKCFSuvfSCUgeyKibkoj178nqKJYmmLB8nymNAK7YaRUUyJ3vWB
1M/0zolT73F07VvGaRDQ6nY8szgJwxlQtaTOQ2YvGMHiOs/PqmyTeSPMCiqKOfgHQlTnbhMPef80
wxd7GcphfGRWAIipQ+9uAVb81dKZ3IJnpm1Ksx7Dg6Fd65vdN5zqLaZ3ovXyk2+a/bQyR3oZQC6d
TYa9kFEbFMhDWQ/wyeuqImmwxbgZGtPBlmTYxaU7HVFzBlHh80NWsQFOlW8cxYYAd/dNsdWlvFpb
bk3T4meaffkUM4x4BobPqG8epA0WOdXeFlChXKeOPZ2axrAswG+aiCxIkvWzBdRp66HReWxc+8un
GGRXbnF8babB6Em+Q7p/2z5BsRVBfS0nV7+SHp9yLZe2CbbD2EAzdPG7/D+K81KS9V7uHVKOaPSq
CSqOd5uaLkBlzwtbyrApwxztwf/v6kcfbzZ+579qHO6G/EN99H/qHP7X3/qX/tH9D5cATiJlUCwy
1bH4ef8SQAb/AbObOY9t2f+lcvyXqdt2/wPwPoZv/P//tHX/twDypo1kKUQ0ads4aC33/9IupFX5
h2YhkRG8QhBiXzWZBBNQ9VsqVWhno9dBOIyoElDnLlhAcd9608MfvpR/6S7/ikhCjrzn2mg9Q98D
beT89jL08bxcJzWVt1uM32nvQ7MnHQD9SV+Mu6SS4z+5Ov+rsPPfgoZur+gxQAnQrVHCBr8FY4TV
UgQDjZfIt/AQ4kBl6WW4zgRuVfsO+k1aPU8BSsx9HwfXQZuhsWr5W9/r2WHyCLLurvNS585qRzuy
lwH851zqE+X4cm9Nhfyb5DeL/u9vF+KWGWK7QojQ9Gnf/rl7m/tGMeup9qMibqpPwPUFqCyLf7K5
hRvGEnjNEh/YdhY0n6oxKfOnQL/OCU1TMTTuVzIMxQvo3/4O13zzT6LD//p12v9+n/D2UNz6ZJeh
2Q1uMto/yGQ5fJgyD2ePA5J0T9lCGM46Ezcre6fT44y3qFnVlmyODA2nyDTMZH8zFeAh8nGGTq7/
zZ6T6jxP6dGy5MFMjQu1Ccq9eBwgBXjtWLw7LlUoSBD1WDZ4hIfEKlA8tPL61/fiP4Au/90gv93z
AQ14HiFOwW7Av//8WYJs0WY/OIITfpneIwygLpomO9lMEgCIVhmNjcoxRWQ0nf6sPY03pKxq6rS6
6sUe7Rye02nq31mxEftYVn1fFYZ4m6xi23Xi5KvM3tA84MxWGsm5dobx0DdpGqkkf5cCSHYWi7dQ
9M5Db8AArme0cNm4l7NXHQpVergcyTuFYg28D8YJ8Uo2R41tSqN1lftkkgBLdemAa4zF0kw/A5Bq
ywqtijwKr11OfQ5+AKWfbR5VZaL/z20jhAe/TPnbX3+Xv0OO+CpJcmNxYykKHPd3VokqNe0JuxVR
LRz76BjV8rl4rXfvKse82lPH/Vo3OqR1b5pIzlAQbP76Dfxj5fjtYvqmA+0J744F0+y355xylFZG
N4uIdl91bsyi3ja5Nu8hPe0Q/H8ZOdGdw5xNHV7QIK32A2/6y2tL9cMFqnJqEz1WNPVs/6AbGs0+
sDRkRTWnb4PD8mNDL2Y/jl0yHRMawp/hoK2nQcbNMcSu8AakP7mX0H8YV8gMIGFiTvcIjvJtP3jm
39y5LO3/tkiwNNz2JBKFBc/in+9cGRAKAs3Ri7qiHR8S9OTx7dpC/WdfeTRmL9y2lmWv0HcsF2x9
ydGRAnk5EUZyb9E1fBGdmH8pnZg///o63L7m3y5DcHuwbK6AZwbebXn7w/pQJnM1lkKLCJsbsFDV
fJGSe3B7wKmcEu/++sX+h68hcEPbDk3wvxZ7yp9frGGDwgPZi2ieO//NbObmtoz8XYTz/7Ai/+lV
flsm8IxndJRprxY0kn6ZtOTu56G+wUd7TK7/508UMra7MVwYAPKfv30iQyP5SzGkl70/vjJkcbG/
L/7f7ML27cf88SrRHODgIMTNdmGbsBH//DI2S24wl7kHTUpdZWcDrjDnHeGbl6mCeJ+dYUCtnUl/
TgDs0e0Z5wUz0Ir9JNjkDqJkJthIVlO3uXid1GhsyW8T07WjuF+DMTEjmSXoIIaUHAoAncwcF2yg
uv2VkwT011/Z75dHAMRxXfZKl+hwzlXYVP54xy3ugvLfU36ETqJZx0NGMQ8za7N4jfE3i8y/fW10
oW4bH+WrF1oi+O3mThcO9P5ghJFfegn2ucLYUziOx0TV5dbp4mHPVx3+zYtyFPz9ofLwUpo+xyUW
Np/222+XS9u9sCtLxxEK2GeyuRrGhYHahfGk35y2oT9rTd0VJDxBWvrdJ5thS/KA/ZEntoVsMCXc
CUq6DynHib1HmlUmUXJOuwMHvyt7kB3oN95ju3tvRgvpGzh42FzwELDC0ZKEXOvr6SCKESWL35mP
oafJ5iLeN6Q9lGCKLY1VZs4mlI1YnEgnujEmzHtpG+XWnzRer9g2MERUl6FNQwpu3JNsC7NfoBtl
p3MDoBvNcF68D1cun7W5dOcapcamFiJ5Y7Q7nA3kc1uN4GUTLzlIgBbdO3qvfFfivjX5dZm/z4th
USdlNTEWUzd+2sgZd24Kc2YFmth9nzI72IZm9Szl+KiYfvM5szyxfiJVUpGIqYtJnCGhRYhsoWAS
aitIX4jqLJT7qRTV2p5V9YB+tni0Jg91rZ2ToWXleMUtNdi/Ovo2p4psi21m3VAPWaHjNSr7OFq0
51ebmE3ie9HhOMi6eoLsQah56T0JmaHibZnwEESP6X69tOl8ZA7oXuIUIIifzdHkACFvpj2guGVn
l84+9p6Hm7tucjf9bNOVoSFd6OEZ5c6vnNPlawZ5bussdRWFwfitStu7jizJbTfQmovt1npt89y5
jIUCnDlLfIuEUtEYCZeQaXd7qcLldUqGgLwg6P+9VApAdUJeeBFMgCeMfjyraZl2Fkq7x54I0c+6
47IN6iaRwhX7FYx9uEuWuNub2MovXRlYb7TZy286c3Z1TkW+pSEfPDZNJS9GARhnNSVmKtaV3c6b
Lh/nl5JUi4sDnPlF2nm4bg01PxspeAxJWuMDeHzoAZMyrgUHrYchh72e3+ymFonUvLInH+LFGKJC
T2Y00Nf/MGJLHRqPJA9b0YRMuXr7BY7dJR3KH2r05x/57RNq8zbJiMdHM3F3S/NsWhTpQTWfocOc
YqjEu9zMNY6hovkZxxaKcJNbsnWGjAN4YG2CtrBAiJfLpqf/Tq8TOXgzJeLitzp9KNpmwduPUKgh
uOQrMDtIufTN7ypEeedaBL/SVrzXhIiEkPyZPtLEzaZvfuc3ezfRBl5KctVSDGaroUsX8vuwOQ0q
+aZk902GGodxLyz1o2wsPJtB4e2rsK12oTNj9oprG7y27u4VSImNCpW3z5Ust8oIQOc4vClELfWr
q2rjlPGuNtKK+cNFDcBFTfu2ajUjLMeL+FPks/j6Pu7GX45IjmUzeeg7QqTMtelM6zxL+QNGkj6N
CIAj0hyMbQE78hx3ssBYYARPzjD/6Ej2vJbMfM5YUBggVjVKTScjzaYSj4s0ncuQVlwTe2jqTdpp
ZITERfBQ9ek2DTUuOXTXk00sBjwNCM4OzpJkTkmWj5f0pWeWzu/J5WgilIhE03brWbA6Creb2SDo
8DCtx9g41AOiZqEfsiUuL/hs9akXRhUZdPqRDOQ74WbvbVp1W9Sh9cYF4c26qjaYQAhYMbBINwWe
ldmY7J+OzpmJBGQ3tCGOtqxI2keQASHhPpR23tap3FdQ6II1MMFklWLkxh5CkJU5XJN4PlrViLC0
OyxF/hwXRc0nlsXFMZG/Ya+3P81lKq9yzDnpB3pxd3lnozxVS51vJuWdFZG7m1qmy550nicrRhtB
uiPiD9A1vk8I9iJpoSr7Rz22x5SMttItftQZgQNZPbo7LWndKsN8Auyz6dJpPNVo8u/10OQtTWHZ
vfXoMTegMer4e0J5Nq7SuPK3MLtIH5GLOvakA67tyommrkgehqWDRmxra51qZ7ERw9G2Nlqk3EOG
K2/F8AG+U0hoYaPjO44dza7J8+IIy3h8NMA7bZFig9JsGnknGNdfXa+9pAX8n6ZE9MtoqvlYlFns
rNjPXm+Y9qif3OyegY7zxrtuom4oxEM9ZuUOhPKySxFGfoSWkd+1dP5XvsfOqRD83LDz4X6kF7iW
fU45WEJe6JKmOkhHZCz9oJ8LVZgnLH3DFm4MIUK415X1VaT0EVYerJZn7CT1urNS+Wgzqb96SREQ
tl3ORCD5+dF0nTlCnhV/q5dwfhvKQq5DJChXXG3trhYue2Fq5ztXkdQVNAI0i9shhGgD/00mpnnI
0rC5y52E7TadH02vIDqpcBLAGGEfEarQ3GsCfI792In72BlElMaj+WybaXYps945KOx194gah8gM
8+SEtZ7/6sLxga77J9qw/DkVlYmwJTH33KJROxCaUcFHqRF+k9iAuDdfhSkZa6tScuxefG8+dK4D
mlndyeHMFDGqOq8+3zA2q0ROQb+2pBdHBsKrk9N6DXOaTHySY1e9+TYgaYQfr3Psik2T4umv2550
IT2qkAEc0kpwbfXKAO111xcttlsmLFvXN27d1Zx8KkO1T0RpusQdLmU4bnGYkSvj+HJrzi7Z5lbb
3Fgy3Phxrww4tATsHRA5LZh5zW+B2/uPAX9/NUyGcanDvDwx5v30OtuKzEI5nIBLVT/VanggdG7v
d+5XHai7pFiSR8HMdQOFrNgkOs3RxvI9J3Tp160z46vxkbYlwPuTeM1BLd6quEIeYVnkTzFTDs/a
Cocz/s7k5SYwtFZ1mVnb0K29dOV3o3pw0Ta/+sq3rlXVmye71/LOSZLpNE1T99mJDO3Q2Kbps4Yd
8GiYrviF7ST8GWRpfVeAOAXizt+z4sDYkCsAnyPj0LeNb7K1FevC/EFIn3+PW3g2Vgn+LibHfn2V
tV8f0jYfyUOc0G/kjiGPDAXGHTIEzBU+7sgXI+ZMkqf45TaNYL8eaf80mGHIFHMBoLBVDm387EqL
mY+F+GfVMTq+MVkA23TAashTT23yKjqbKBp8aG/KX8pkgwoDE4dM0ziOctBaHvF3efhQEAK+tcF8
bByKoYnFxhDvScsW5Mu4fPdsEHTMDcmnKrBAr7SuwlNYQnhc5UyUcbkuuXPDTrTdCsfBcp4KGpSb
XnXyLOe0O0EYu1be8sPF0DxU7rBNscneKYKOQNAsb4Qg8EAvcOBIM1N7qA1NZJN5iOeP7Qa/DtNR
kobaW4to2tQVSl1ZBsO9jaRjm8ZDyjArj+8qA2bLSiFxO4yp3kKFvKXeh/BpuowA7ArvDXne+dEg
SOC1nhbMKZ8LyqFA288qGD/IlTkEc/Kd0My31HbdfZUY1aUdzWDfmTX5Gmbl35ewEfsNCrhq05gW
Jgt0GeFDxYRx4wvSyarSGCxaUQhu8kDUp1Co/snooJeQh8SgwZU2tkYyctxV5wnxMWkyFNa8heGx
jUVyKcPpKZ4qZ9+4df0+Mb5uVkoTbkFrSf8a87h/Wiq/3c1TY0S1lP6+NuaELA22vU/4szf8H4CS
xPVQteHn3vEkIyDsVcPsPtf70bSSW6abtVIWdGivIRx0nYR3UKXkBf8qrDYrRGc+dpk8+Bh3X02V
sekEAdL0VZYIufaahZoVucmMt8XLvvg7RM6oipTEdjaIreEYQ1zlsnTGXaGDHABo0p39Erlj5NJq
jZQdVvdICQ2AW4SEMQ1L/R2YjZ4l122ctZXZxrZGDPtkTD4Fg0/T8AU1XPNOwW4e6RA0OwxZIQ/3
EO4MxPArN14uVq7XY1jVnz1Nx+3k9OYHz7AdzY6O98UQLI/MUIdo8sOSYzDAx4NTB8bJTJ0YO9uk
UKrgLDgrDh+RSIt63VglYoQ4yDYZQuNjlQQvCArv7KprfiwM9LDMtOmTOxrN0yIcYz3Ifr5kgPko
6kLvAhXd/J6KMrwO+O5Ptm8CjrHK5OdtKfxe4YHCTFq1gt8srKPKhb2SuRG++EvfP/sFg9bN0Gc/
WVjKh3TU04sGaER8ow942SIh4Lue65bPkBb7lADP+7LPoBotSXshW6O5a3LpHEBC9Q+ZVaEYNezk
G+qZ+CwJhOUBooWovSA7VhzYvhHOi35PIQnaceZBBAWO24gImAj37eiP/a3LkJ1pzI2vhUtjbjLm
6q4Jgclg/9DdBQeyTztlUfO+5rx29Mre+6UtoJlIByHxgayUF4Jy5vo2v2OkKXzq47SkmtwXiqYs
CZ4aa1Me1Pu01vm3rqsUumDXtCLHZHCA24u5+YbDef4yWCLc2AHQZpdMZDJBqorCBtaoed+mY/pg
eGYdWaKReyIKx5XhWJIyMFWPbJP5VjGQdXhKboGvM3prw6rrFwPV7Rq7lQD8tsQUh3UPqWW6+HGA
GCgYi2Ev+QjEbAey/uKXZCbg0uBoWcyBj8zXaJl1TEkgrgZerI2PAChyY4TC65a8zxert+hXmibn
O/53+5Op4YT8cLTP1ljhIjM48DzEEG4/RBrn77Ug8yyKLdGjvqpdnV2dFIBkCXPL3BjLjOOkcTtW
hmS+8kFpoUtUBxRVlUMgWj/vJt+r9oVjmM5rFcfd1wg6nNKaxl19Z7sELAB9R8VzDPEDIbCILR+U
8FwoTdQMDKEzbKM+OFoz7stoEuKN0OhqL5fAuZaLc5t6ZxCuSFLFWMsJP2942oXED9tUGheublkK
lmUgNafIwnQLcUdu+mbkcOsvgYxwrc/2PV3qGPJvRt6gB2IC+ahujcPUiuZUOGH3ko0iXxNi6K10
61OnGcH0tcgQ2Qm19y3gu6l+CEuO206WbJHoMFn+Tbxq95VfLd9svO1fKX2gk7kQ/8FHb9+HWOMi
C2LZ37EVsgxwbdw6mocqUA8iSOaHrvEA7gWgQbejgBlLNyxhPR8hBmxGrOCbFrHqOcOF+tCYIv9O
aUm56Os2+JHnyPVvYtT6W2sB5IwCRx/zPiVHWWsm2atQe/K9a0PwUtKN3xgp8VyNsMFMGJ1P9UhS
FXL2pNgagfMDwU/k6I6owt5leEI/cwfM8K4oNLTxhRbYCmxSciVlvHyeMPxuHVMmR5kG1rkQhUHj
AwENVvmx7rZzDXZxrlo7kkaGMKWyG/XNQWSwz9m+XmFaxcR+BYRa80ms7k4tefGBzMWKtG6wyksz
ObZo1B8lKWhkugMtCVaTfXMDYOOJ6/U0zXG3QTvILjmNyylHLPimqYZ/2KINDnRXE5gt06/OGn+p
zngxKQFWZZ5ZByw98IIax926miW0EfXwqvA03AUhjt7cTbJfo1/dFMi4KR/obLEzVBysYUnZPuJX
jB6RVFm3XiZp/CJQOZYrZmtfmB5Qc99eol65uM/C65S6qUDsgssSRRGu/JXHOHNemQAKV9IiadjF
LwCePqYEX16FUiPzwEX/yMANF+sxmPrzFPuP2InFqb/B7/lY8Sbrp46OTuEMx7Fvl4PSbr/i6Xg3
+Sm4hQ3yRilMCuB9M4Qrlohpo+blezDQh0MfV7nvPtbZs9n6zlvHR78L2IaJkar7AzOuJqK75Lyy
O+G5T9En5fEsHgxrIhkN/QYYtQKonrXAO63aY+hh24z7Vn7O5US7rRqMXSypdY0JOYTTkm21juvZ
XzfBwHMAyO3QcaQlVJHNSmPGZEvGAzjtPLUYu8bsyk2lkKSsksGW5OMY9dZ0lX9ofBthJCud9SQD
4B+0MvJwo/MAepcBXQ5xzrWKVfpo2fQFQ8xi1ICDc4pjnF74UyJSEppkHQQAjrnivSb5BVg1tTZ3
bAqdbQzftOH4pJx6uK1nhc0rWDCOgy/YCPbeuyEH9BuMg4cEJmvfRsuDvAirABALaEBiMPU6QzaG
wTbUJ9IgCkKTTGOGJ5kyraupry4+0TxboJHjUZEO/jNR5DlJaK5rSAnTuciS+gXYVvFMishyNYzE
f2Ve31ASZTFQBXdonQjFdIMLLkeL4tY9vHUDNY4jS/upn2uCD7BurimB5MFaAApLh4h4WENwANti
rJHncquE7lQhP+UsuWObzlEc+ZA2jAIO0A2TmXDcmsfvLKMtQDq4beE2RNJG9N6S9Qem0MFCRF4r
q20HceTaW+THlhzvsTrQHoG+NtlIl0KhjUtWzvlD2zQxIqiq36UNVj2thXc/wf2DNmDVWzJ/8o0Y
O2og8kw3iuD1x2xqHrvKcV6sKV7Vyv6OLuoDTzHytcbDA8KJDw1ZulS4FZW37ufy5MGk3SdJal5l
848gTie4q2ZdnrKueK5T5OpWOaZfrWVbT75y3WcgSfEh4wgSGe2IogcvJRmi+qorbe6HUhQPEzsp
IS0kTCX5cI2NJXnyFhREHVZ5MBJ0mWnoOmiw3GEngPduh66pVwxD3odAmUcTXeFuijFYlsrfDRA2
NvjDv8ipWj7nxVw70sBpTEosmJbFX+GdgicvqwOQkTIi0qzY+WlHbyj2e1jddAeixVlSbAPDdmEc
6rQ115iRbYQw/qfbVcsx0do5B0hZsVsUuL/xVPRwe8E2ubE5bBGaQQaXvR3g1j23N7VT2xcSc5To
hm2OgwDBIqNlGZkt1nCFWkTCa8vrhxEvwDuSyc8hMJLdYEzWYa57/nSA+38wFen03r299HsDWiTZ
KolLqmp6pvfbMDuogN3nl8YQ5o9ULpqliXLY1tVEO3+cjzTAXgpE6Ik0fUKfIXxmGc2+cZAHRwEQ
r3OXWmIqP50+zqDHqu/LktwD+UWtnmRNg2bdBnTLbN9mOzDEVgpKIBxmB9+eOzI9Q7KpATEyyeLo
4R8xd8GyXyiQPcLsVo2DuysgC50mJeWEsMLpew237FiNBSTZxqNoH6YtMj/QrT7+z02ZiR/Y2Nwn
r01qOFypjYNTG7a3dee835eAsVx6LU16R2A3DjGnssS7Gi0j+Yj5DR5PJT3q3tB6dlwfVpEe6bYV
8xgVPLcSu78XLWjowi0DCloZGIsvseHGT62E+JMNYRPu/ACIv3CImG7tu1bYGXP4Uet5P/pL9oFf
ml0RZTMeg8xq8meDPGdGjpaThh8J7mFwpcLx1yYg1/joZdQna7IfLP0ehnlxCRMSSA43D0q5xjV+
W+Cy/L4U0C6XAsQ0alp6oh6mnSFhP0SymN7WU7xkiHqzaw405GnoXVZb1o165+RgywEpkw688jLP
f8fkM3zMjS0+STxGzOyGA+r3kHNzR12HX2IqyRDrbZirs9UDjWS7xzdMNyJLRqrFWKIuCQz1RqNY
RbmtwYlNvX/ne4IevuGvIOQQXLlAyzcb0mtke3Zy+9BVKF9NAueZc50F+zvOs7NjJMcuJ+3UtTSA
HTepk4vgQHLijkvfIS+0VMTtSneJee/P1qcS03DThMo99sSM6dLcrqo8xAUSfict/ira6c2NuwmW
f8wxI8eYcJgKXitI+hsXqHkgnQqOseJGrzKajYmwbyIba7iyd2MCCQq6ZHkpK8xXFZVqb7gTFnBg
B7+WkWBb5TrdmmPPAVyzg7cmpmZyQQjX6FgwwIWdfrqlur8kgyQoOXNoUpeifQAj92iWxalzjDiy
Jt/aWCh7YeA1cfxGvQCLEVVau/ELZ8HD6fTf4c501Vp583RcerzR61EUOQffjLFw27PpVkPCkncT
vKM1zpNwP5vWsEFw69isPxWmGagHT60OLQ5a9E8z02A4IvJ3QPDWbh5ZcemtTqesEWpjx9PyNvtU
bdWaURadDUC32RmP+ZvWlnMT38bJtuud+bs0s2I/cDo+uWHvvc3tYtH8YqzHkYgsJ5j5oXmaSsNs
V77P14AezICU0SXx2aE19JPalCpkyeOHbEwIASKaDthEb6Q3ej+kjhdKuAx7NkEFM+TuyjKPbmgw
L+jG4gU03l4NUm9FpV/7DsNC1yQvDJB3oIP8fcksCbk1XGGTTE4Y30rQ486Ns5MwUmRdyV6wnZcI
NiSVyciNtiphcn7VS/YgWx/sTDbvfFttal02kYcfjdxw2J5LkNGBT2WU2s646RC6YAW0ZbIN58qm
xkeM4m1ckf2wB+BCiBql3lfUn29mHdJb9dz2IHK7/awL+rGbyeYG0VD4sFO24fhUCsue1q3VF/si
LqgalsW/91NSCO3JI7BhoFlH3KybLLwvdMpkMCSXtC0eyEzlZDHK7I7JCSMHuyr3kwohjiigNsR+
VXq5LlNWAze2NBTkNLBx/JiYfWr0yZxW8vwNakH2c7GUta7Rtjx5Ek4Q50KZHQVxMRCe/PGxJyFq
NdoxhVxjG0fk8JKSCSfoQdmjW689oYsHzTnmbpzjBNFvJ12maemEw5P0Sx723rRJlen5yrFLDK9w
31Pqj4W8Zm9UOw2MjGMdumdfsg3qVOxExwlqRVFqn6jgsE8qporg7NvlUsvPDoX8r6aY8BL4g3Ff
3E68erGzK3q95sEJx2HdVGX+mC8LPC4rd0gWC5ZXN7X9KAgNsYEdXFPvCRyCS2evBSEwazcHmsAs
r7hHZgSRwsfPHMetJneH6zNyltsOrNI7z0E9PzfqNhlrY+tbSbvhLmYKtJFFCP8nc4BS4WA6ESwv
fsLHBPtCV4/NoyAAejO4AkKVNvI10Z+Eksje2ZipNaxkYfRvGFXEk8X9eUmlxa2UOBDx0IxfBUqp
VcMcas3O021yFlkaVCP8GPAwdFOKOdvg5qqeskoWu6Hz+m9tzFrXmBDWCYtH2baazfw/2Tuz3riV
LFv/lUI/Nw0yOF/cvkAnmZMyldaQsmW/EJItcQjOM/nr70fZ1SXpuGwU0C8N9Mup8jmWciAZsWPv
tb7FJ86ULuqX5FQmS6GN8t4uom8GOtovZu/EHyfRVD7jRIUYL1xApGKbHnxPEnVVKBOmTAsvyfUJ
zIbDlhMWPVdnKCrnQRmULxjcn8Le1i+Bl11xQ9Gtp5tE8kGbXEWKlnV+lwDY9YclYvjkzoyutyWn
3m5bsHhiPcGVt+O2rigfF5LFkDnRHj9EeGdXajMtGxHxx1hcphGLsW0jGZjdY44ZfmfaWf1NoKDX
6bkHtt5+rJQM7q86EocnFeIg2iFBPhO1cXAd0iy65e6KP8u81O4Hoae+ZaPsx44aboIimD9aeZF6
lQ1wbRVMkJrbVFPvUV22d3LGjWY4GS6hZNbwEWOq8FBthaRJzIQSBKpcu9Y83VaYSo55lmcbdot0
bdmAAfJRLTmPqr1g/KK9nJI7D+RXdVASTl/kgqcXJvbQvdK6bbPsIbo3k4u6aQwAWzRa2v0cSeVB
hqH1SW8otHMOSbtGiQjptXCdjXESb7TWwto+dt8VtxJ7GDNYv20xWKkXafExmIfxijsypaQ2IL1b
ffJNd8F91FE439q26IfVxHmn9CfGxygYfLrGK/SN/FPSJTkDwHY7j+GGMwJvbptbbcyakyGLyjyp
Tt5fELCWo11Shg5koBvvqhifSTtL9WrSI1gGCpnSO1eL8IFZLRoVDRqpTazhOSDO9BSVZLIJzaZp
k4qB55lHr8QFgjd2Tu8iuKFmpSChmpviUimUOztXnnSkneesVKqbooPNrRRjvFS1Re8ZcfxJVer+
49SF9lkfZX+jTCC/k4QsAehowki6e1lYzZUJ9vVeCQiUTRCiHPQidrwOs/w9y8q9JVP9clKW+mDI
5IkcaXHI00bdpmFELlEbSw84nvze9wFInYGMljrrY44qKqsDAqsdZ8M49CrIZJGH/MPcp3ZTbTHf
zV+ysKoh5Eyz+EYsO/VYU6pwnKmTD0lshj6gJPqyRp755O3OXlh2goCvRRqRdw5LE2D9rLTo+1jt
ttbt7qIcgsKLLE27N90Uc7bDu4J5E2faNc3W+NDPrb6hZ5vwW+1xU5Sq3IdQBa9Ku2rWGZGOvhLl
zgE3MKLY/BkP8MYa2TPSoBu3lNEYACfdgAGH/ZzYhyTfVRZdY8sJvzhR9B2V0pNDt9ULmWLHgbYZ
sQp5VWMl27IqnqQlC+gHypageGKdMVYRDwZGIOuPYR0eB5tgDNwbDtkm/oj9baVoE8krYbTmkfU6
zSDs2db2aV/eTpCPUAx5ttpHgKry1DOHeImECKgCh5FBFkY+ur/ww0Kh7Ga1ukh1Y9cl09Go6H5P
msVEiF+5axxC1g3MJwET95jDZNclX+1yqjeKDTbJsWN5K5h/nc2cE2Mxw5W1Mkzg/z6T9EUnNQ/W
tmzDByWKjMsq11VCaEK5zZu4uXsR5/13E2X+B5GwdRhe6AL/eWDtbSwJCn9tBPn5Iz+hMc4HV1Ah
GCaqPoTsCwDmhw3EcT6oyGsEeiKbGpB//3cTCP4Qwb9g8TA0E/0fEscGp1n0H/8mFpwMwxqEnC/O
ETTs76jXv6Nga29l3JaLfJp3JbTFpaE6hvlOaAisTc2HXIid0UfKxVwPEuxGfMm0oLxAyWfDt+Ls
a0B4XOPjG+/iQYYXOd7UVaW2ka8B5oWC3TukuzQI4KBeYXvuxn2hlO0lhsFo9eqb/YWd5C3i5q/v
9532E78oTxnTlp0bp8NuMpZCAYkorusAjRWdDVFR47uZGmx//8L6O/PAX1/6vQTbMhBslfq0i0OO
RzNo4JME8b+Zq7FggK0gPXDRRXYaXAFJH2Vk8oW9wc1814Zpk5RmvZtmDnIF+R1L84HGah19JHSR
QNaSb8/Sx48p4LXLoO0mL7Y51jKOUnfNHC/yn3WNBU4mqonvDz8eo3MSne5lrEyzPzHmQLCeQfNv
s+6219XwKBtUQjId43Vaiuwic9Xi0uyo/Woow1+o78iZUcriGGswYqeMMIi6RFSSf5t6uAUEkEKw
SZSlPQkrdNDUO2Moxr3d58M2BTOwCsYw3iR2B3TXbWihFKK7L2NT3UY0YDdEl8LYCzkJ15HJ7iiS
O9MK0OMPGN/Let8M/pAq90aTu4c2TbKLKXE/N7NQttAuDvVkqP6Et/BIiwCFJTBM6kFQ11OCM53N
BfhEuuod+6HNqH8I28EpgXGHxBJlJfrp44iwcENnE4urGuieEkGBLvtx3BCShv8+jU/UUcSi1+qu
DoszXr+LYJ4wddal35MkhJCN82IFUDuAq6yrFSgOY/TLEEVYPIsezRLCIzFwWCPBQfrZpBYYgDkh
MKtu92ZtqV8H9ou1FQ70w0ytnXYEAl8PnYuzCI0EjbNDMLmchBxBPl80nhHMLWrsEa5fhsKltDrQ
60NJCKBy1vIRDWkN7AOrIyU6xBCgPyFCB11Pj7RmiTCGAITbOdg7uaVu2zgK9nhEHc8RmJurwipR
L1kmDHgs3f2oz2eigS7AJyNk6Huvj7L9rNe6n4JPXcPYKHwYDMpmKAH8dI5L6Sq76TDQR8WZ3zJu
7jMkFPm5lUAASVTfVpWDUsg5Y8qiEoDMLlK+S3MwzJUl+52l0wiSaHW83Ba6lwqHvium0cENmAu5
5o4C317Bu9ta5qc8b+jE6ZCnI7Mk/SftEp8Bj+PBG0HUU2EltZ1kW5HXoyGcPCghQhFrAI4Pp6Fb
FWVrHyZAJ7eJrin+ZNvbcTBul7w8HzWrAqI/UldYNU6Wg7Mex7tgIoh6pU3U0Z8UsVWGemsK8ksM
K7zpBAZVgs+ILJT7KnOAuJARUE3juR05ipax17bRqa+0coeEyx/sHiXcpzmtPtqVRosemV8Ulc6d
qCTVr+2uIYs8yBhUuhXWl7UU/pTl50apGRVg44iyb6qWr9FNST+1QXbDR4g8ogVP+D8i9Lc9Iubq
OibPRam1j1QvFwlHw0ukKAoGkGmyN2HACYEGZtE80tY2+d5z9XZsKNRFKm4UejabIB5Unu1+/NaT
7rxSaZczLxx19yFKY/7Mx9qPMzZgL3WNyRu6Tsc9jXKUNDdKLQS03ljpYKLLON8Lidy77BBr15k0
r52AzkPaS2ZvatXtsEJhA2ZdJP5FvctiELGsfsMBa3h3rl2HxaI1kIuHirqF3k/IHxhZ2KW5rR6Z
yKl7t+rqmyrIuqsBp9MuLoQN4DfhLwLHJv1Vjzzcrir5CwgKJtBLAtmdackzU6kWMGfL/iCNT3Cw
cWKViNBTDjGobIkUV0RZnwTzRA5JDDlaI5UrURPVnUiiut2mibG4MypLlFpF3RHHa4o5LOYYpO8z
MgbsAIHh0ojOZgeoLQoTX9jAfurBnqkMi2c7pMXRxi2DAF14CjbeXePGX9DPGWuD054d6wRMInLa
jGQucYSJ+jUHcI2imf76XJt/cBItjoV/GEFedjHsE8LESKrZFBHv/JiaYkSaIhckp1tcoxxCLcy0
G/KDefj9hqm9DQ3+6yu9Ky1kO+aRKkJ914eduTMC94m2CYwoxhgeuOZHSyyDW9PQ6Cqx8pb2UPzB
SLEYdv/yYS2NGoc2la7isXnrFHEKDhSo1EnQ6jPojKohCEfommrBdBMjWduEt1WavG3nst3JXCEb
bllJIibqJHoGzDAHJGr4f+6tOKmvSV53fdJjWeVDhBonBASIeTTQOkmfhjvQ1TlAjhGg3TyxCObq
RV0h2LLL8JksOqzphJ17WZ1d8z6UdQhH+Pdf+a+u7euP+y7PHk4Ng3ppajvFbIKbpgasPpHc4BP8
N//Bg/PWoPLj4gIFY6LNPwwMt2+/WW2AU4rFS9vFnf3cQpBfTabxVXeG3K/N8g9eQ325Vd7ftK9f
bbHpvPKYKQw5+7FIxM6M+6u5M/XPehZ1e4zF37WYrKXKku0VrqXowmnFvIMQpftClvTMrbC9dOGk
JFxJH2buNrWqcZM0XXvBXBBI0thlfhxzCaU5IAJqE9MXU5FfqUmUc/Kryc0cmagKMuVWtMiP41KU
VEt5YlCn/P76vXUbvXypVPwa5mXhOHyvy+386mPKbLBUhX1kZ1VADCUCSy/ThaR0s5SruFdEuuqq
VP7hUv7qQX3zsu9qalgJLG4FGYaKYfJo1OZ3W2rszHVAvEetKhf5NJ4C8nmv0qXKsQf4Ob//4L98
CyxKLuHnjuuQnPr2k6cqdqYyi7WdHjOGadgSY7O5ZNhGmxNdPuJj/AKOSr2pW19Z9as/uPB+cTu7
r1//3ZPTDW5DHgwQpjbtvupNPJ7aPNAvsoo24qSEx99/3OWk8O525pOqJtcYqz//+/bTRkOs1G3B
cJxuaXLUBom3uwna9e9f5RerwZtXefeZGl3VMWYWSEfbUWNOVWgkdSGWJ5vxD5fvV6+0fBQVYgGn
1b8sBqXb5XSz1d0cAHOkY/45tdw9+8wfPtEvb5PXL/RuHeD80bVBWhvsJoQsx0P7MRFokWigB6t4
6vRbGbaLH2Qpj/HxcxQo2z/69f96ZDZUvHk8oipBVZzd3169IBqRgMWBvkMJWAItq/tzKQwNycCo
70p9vKNdjEq8D20ohhPlWxjRAqpSFW2g8qDQqlljZ2LFpLrIDzLMPlsAfK4Qmn5K0Lf84cCs//Vm
Q5dIIIdDU4J3bL67DRStl8yva95a2B3yiY64FsEYK+YUvZsyX46uNa7LDmkD5g/QfXG54hCqbGJQ
B75p5um6z1hO6z5HtUUfKSF6Mys50zQ0vlYcIp5LULO0+jNKON04aNDAVjGZsivyN0hvU+J2Xc4F
tVUZMCBKn0SsaqtpqDJPtXrj2DTNjxLnv7sFdRl/q9m6n9v/+4Zi/NJN+S+m8f/7n9So4snj0fzn
jarzQxanfzs9fO/eNKt+/Ng/CMfQSlAJuGCP8JqzNv1oVtnWB6Fxx1vW0t1yX+LcfrarNP0DdlwX
3sZPbAkb1892FR0u/Kv8lGHYaAOw0/4r7aq3j55t2CgcF+oAi6arsty8e/TqSnc6a7TqNUD7K42i
YCWVCqasHqLbaKmv5IUB955bGRLnq2/q6sfq/Jpj8m7tASdi4jqn4coQHjO1YSyL4KvNmYiptktj
o0UJqwJRakM8VPkth7573c1uhZn368CmPuTI8BUz43z9+9e33hVBLzwTdAr0EXVHJyLPerf4jYqG
CRHA+VpLlXkXtBZ4tzaavJqDw6rtbEB+hDUegdVH245R+LEFQ/4NyH24dssxytZRazSog+d5PPUm
2ZO4Oc0D2UojDNZYv6hqxOJx3biXetyQQVsziMB1OofTLlDhIXFyuqYwNuVlSVQLNZd1Rr/meoA2
+YUAoEuaYoP20UBXrvqd1VwSGoLAIaZDUJjtvEktvWTwkjb6yTZmmhpqBV+qzPT5up5IShBOo5zt
Gag0ElwsMzriEBvI2mVI6Og2xvIBBK0iP9MOUnCU4wwc0uq2YlLNg8scemuyBKNOMQwcgrWiEEpi
R4rcGXYljgvDCSqcEnfDXkHWqx8qEjTKrWHrwTaMQVbVSmBJjzAQ56sTGInuSVGKG8Q4YemhoV9U
TQrfWkMHcOqT5tiGtYJSjfP6NdCN/ikLJvULOt8GAT+S6clTCYFY/F7DcD8gQEPU4AzZba43n7tK
Mdd9ILCSiPbg5MbBzfNyhzsQ4kTtxCBJla9Wp7qXameMUN26sVqlXdOJlZRJFx+shGiy3ZyN46kj
louLJeUBVWi2TSNLboUTcqJNKqc45rB59lGKYlrHiHLG+pNgIx9CP67J/WkasgHnjsvdaFJ9SGkd
ra28bHAx29m4lYr7EQ7LcIQxFm4k7c9LHbAp52/6beYAJtpWGmentQR2Lz1w0x/bTjtO8RCVHgpI
G7w2ItgNqahcflwZG9pPBidqB8abItwNXLDZZ8rWfLYAFHxG9KNelqhDa9yzB0er9FWz3OctYDGP
PBTjUp9q99xbRbyKsq71qWqaNU5J9L6ZS70fVuxhXMHmbAscYivTrOWtEzbMjHrTMrUCYqBCwjrT
QKbaPKrD18TpdG1TWo5Q+YrVHNNf08c8Ldpgyo0xzxlg8EEY/YbOxXxyYAg95kbQ3qh6Tv6DnbQM
apgt3w56YD/Noahv7aFx7zB7YTiYok75msRiPMaYjc66tFQs68VY2ScDRxURZWNf1AQgmcGw0RSl
2nJMSJCaA3mDwSerkDRXGQ6P5TQiU+6JvD0mNZKIr47TTNvZNieG7pqzSDOs5LEZ6/RqyBLyiRmZ
nZtYmLu8gJaex+bOAX8yLzknWT0OG+yr+jPM2/I7hJRkN4VmfFlJ+A1zTX2vBSXphmGl9yfLjcqD
asZ4JLpRa++sQbjfkkAP9kphgboFBuDlzTBEXthk5k6qSKP8WGuaS6QbEY6XvP6sB4C7UwAqxKbP
5kMw9/kGN378LJgDrgmUzm9ypXduIcZoD5CWrCutm7ttEFEyTKPT3DHLK7Zg4dVjO4bZfZSY1SfG
//odTkhjj0/YXZWEJwQ+0AKJSbiTw7ZsmpShMODoxmO+qdXfUIfk4SHS6xAgYJI6xp2ArDesTX7y
vp6DbYA14zkIgDLsjEnt5rVG83reiUGZ0eyiylrjJt84U6RDSCdLBDhGV6MzDtUKvb85TliiNcWt
IQ/28QN32oj8IYgmFiRGzdgloNuvoeKRMB0hM4XaUGKc8XW9y9adjbPg2JaYWWaM2QxqDYbwi7bc
2QekX38FNw/6tp77faXawedGF3UAH6ofFD/JOVOsgwBL8wFNZvAQWRPZdEHrDgcMosOnLslbgHrk
uQTka0gMSiSEE7en024Kwnh8yJOxPLV11IiLKHNcXIvTlwmnAM1JPP1bBvnKbU737QkdU79vKOjW
A8N47KRdRx9n6qe28i0qxHtu/jlcZ3NP8DFRU66+pQNHamdnVujoKgDKg4drrEUTgFseYdNQal/G
std9ApuktoGanBsrq6vaL0o+NAaTS1irmVGq91XMpFatGEXHHSpA3Zhd38Xos1FTXF04GN3vDYa9
k1qNbrLVzVbNV5o1B7OXzkGxnUIScyA+WfGB7D5CzMLS1s/BNCI7HQwe+lVhoOJixsAbyOQM5j6L
ZnLeBi1py1UoQZeuZCOxJM2dwXqBDyxO4TSieYUWana4Wix9HjeOpG++zazC4Qiy7DuObhaf2HqC
0EfYZCMBGvvyTsbtfJBoTjZcstxDst5ugCOPxwrf/jYmldAF/YzUABlok6/SSFdaD+tgjj0PdKZp
8DiUirQ9TU7mVRNMkKbczNY/Jn0PSsrgKB1WAkbVVBMbpc3RATLAsI1kF9crEnGT3GMsCFzAhUF9
g01Vs/wBFoeyQomuLg+6QpHQ1mIdAgD6nky4gxAmx+64KqTbPNfTS/CZhCIOX1HZ0FemEnPJG7sn
CdrwHbVoIT0UWx0O8VWEB/ZmBsz7SWthxxcC6X+AGowJXkS/GAWB6UW2Wx8beN0fG7vhsRWWYtyl
RdV/6ydEDJGMsZEg9plGTjGWOnsOkL2Vbpj1pTNH4BIX81/PhtxVzdZQC5SOtojO/ZgMp34u+eHI
QJ0mwDAS6Jrq0Ok1q18NthLfjG0Lxclo1UOEVA89N47bguwbEojQS8+kz7sW3nT8ahTQ33DamT7h
MR8liixkAkhxSLHg9fhBa4Oiwb5oi6HYztISXoZ0bGMsYiJspLlzNUQFrhGrwQjqS2EIevUWBLWC
jPJ7djkwVAU3FXUQhdBz1kfzCb3ymO6dWJlvLIHdYNXpsYHjoucN7UWUQaLF34Vgv+nqJxrdDppS
J26/dU5UT5us7VGE9XVZ7uxeqEeZ5j2gFyeNmQplIJRZWs0c54iWBcM+j62SX431rl3JrMvJlZyq
QzO1M7jW1MDeb4cm+2HZxd3n1mzE56FS07WN7w/ePaWKBU4bdfCKA6kRr5NKtb7NpbSvjToYPqHa
mJGa9LG8CB291GEFUH2t60Yt7irGa+NaG3qep2xy3auqKeeTVOt+V+e2cX7J6FGFSFBNWs49vIGa
cZTWEYqIy3cs9wHKGjLH8fdy8VjAYbmTgMmwxpT1kytFHG36GVQBO3oy3ZpkshDf2IyEpuUTk9Wd
Ohb1Ed5P1KwnugjHCNE77c2QlyEtduyX60LqaNBERDxrlsEiFjN8hJhRDenwMc8MK8UIp0DqB5Xd
z2sjVKbgY6iOTu5DnuGql9PMF5RIBti+pCA2N2RIiNu+xnFHT9IOVTIshOgvUE33zkbTJEUH6IOL
rreZukaZOlIB0xtcaZMhL8ogcRuqNeGckdCLz3akWiS8uUl/ocFiO2RaBASdRYfICJaKO7KZ+/xA
gHpUrdR4wJUhx0Uv7hDkS8lajuVhzlPlwVGqePTxNgCrtVXKqPXAvAQsAieHftOqFvYErolbX0RT
EHwmkyX5VE9pHx/nqLWcvdnSFEiLGn91XSlPqoYpWgYa/Q2VXWU/jaCkcf5Eyb0+GCpgPBSGn7na
5aWhzcjL50xnjMpivguaVBxmg1Rq1wzaI76UNIb2URCaxEdfT7wJVGqWMZ5KZNCRTxZD0KwSyiNU
j25lnhF4VjCIf38ee9tW+XEctFQkE1RXKg2h5b+/Og7KoBEksyjtug6YJyhzmWPHjtM/dIRfTrT/
aBX+eBmSjDjxqbyO6b479E3N3AuYHx1kAWI0O7wPIRgEXXF2RjTDhpZ9mQlG33n0HR2fInwxVCmp
yHCj7rVxMveTAunEKrP2Rsa2e7kcYT0LZclJGcrpngju0sOKEOZex77UXumE5gU/mqv/2485T+XT
f/zbw/cszgk+aOv4W/u6sbJAZBH3vLqv/If24W9PpLa20+kh42e3xcMvf+K/ALLsKSYtRjrjFuFR
9EN+NmP0D0Bl4apqP/ixS5vm780Y8wPtCQsZnC0ItrcWPNrPZoxmfGD252r0aX5kUf1L2qG3PXPb
WN4Y4qXlCbBAMKrvmjHCZpk202FYJ2FYrKB+zRsiu4WnaTB4IOSMf2D/LQ2W14/Cj9fjBU3TAF67
fBmvnzgi3Bppkeeyng2O2CwIz+zoCZ1E8kBeXYNf9HqYDf71tRgnoLMi5su0TfVdh76z8F7gch7W
tMRQRGUmqAH6uNqe81d5KQkSvuwITNimos19BJLudyst+isgX3JPYhY1TaXAhFIn6kCEBs2yKblh
/RmXNgbtGIriyeLEe9GphJdOw0xCUaPZAfsCAn6qTgJq7NWgF08kcS3eUKmdcQW3/Ua3GVgeWqNW
r+JUNKHXADCCP28bT6QGwL6BDtV7TpN2zzj7o6eQuEhfcmb1iyCdr1DcUjsQ6xJu4YYlnsRRcZ1Y
s3LgdK32KC47cllk5PJWUJcGn2kpL+GuqMDoZocpWfYh6d3GCtCBvS1RjAACSROiSElOR0bQGDXF
jG739XPGyPzCbqy9HXI/aH0n1jAxSAm3zjlEu9KXxDNdzKEyHzil5oRypQzXRItTXe29MC7vCcpL
KPDENby1HFqOfZwgJZA4T9+EtJfK012lPk6M/TwOIXhNVQvThOayByiWQy8L7/Faw9R1gZvkPnZB
2WSjIRFLETLBPJbpc28z6EmSTdq4XkTioqdrY7s2Af71WFO3hItfE2S/wmx6M1U9HjC7WVnaGG0R
7xl+mrl7UaHQkKXOy9c1nR+NWW+C/NLsEv7P0iGBrrcDdeJSO7GXkuKu+pbBiwsrU/3eUdEEYfbo
0M97jKAeQiEvs5z8b2GFjwPy1ZUGSg1Lp7JFsnFdyJrA3BfKFc3GwIhuW9LSPXUU380uOGrS3oNR
Sb0Udx27uUNgG00o0ejXAd4ArAfa98TKNjrHdI8OylZXk2fi9CT04fre5A84v09E1DxToByzNrwg
EB1ieb/07qPqNqwJNjMpYyfCLAMyPRmJRinBjKXLqMMZHdygVVBV4THRDQaqCZanj1VrnmKluM/J
+/WQ646UX+lBdccnqysTX47YJqnZmlU90hhyOfdAhx7cNTUucnQHzhaOUw6QBlHt8AdPejA+RkHz
eQwFMHZBVS110qitQDkHekhwjq2StWjgflHoZAm78CcZELVthYcw4Dhi1eKeSHs+ADZfsGscrYb4
MTBxteck4dGntD2ycvCHIdHO6GegLRLKvimwH9WNOXhc2OuIAtULChi7SpqSLJDxoMpKzGfCoeAP
NfZ5UPmkuQ1eJOc6YLt8dKkp1y9r1f9urn/cXDVNM9jb/vm44z/z7w/ZQ/63h/z7307xt+Lxof7b
vkn5Y/N20/35m35suq7+ATQ7GwxbGmhhjlt/33Rd8UGAELKgtQqonMTB/mPTZT9mzuEucw7DZjDB
5vVz07U+sBSwH0NBMIXK39D+lQmI9lYjwKFc1WyVd4aNlV47qKi3u2DTIFQv4rHeRgPHmMTMHvPS
kWvdZmWK6NFvGOw9MwQtvdmVj4XWIK/htMuBi8NtXHBwXNJR4IiaXjDEn3oM3d6rL/kXu+f7Scny
Fh0mPUtZwDdCvfH2LaLBpHKQYb11ELpTGuNEZgSKMTRyj31VPRj6eLKaDs08AQkSYscftu9/8gYM
3RV8Vba7qLdfVwoC9YIDEKXeBiFvgIZM75UanBU9DtYRJgevI2Zt1bloQKLFKKPxPn7/HbyrVV6+
AouJq2aY6gJFflerNEYs6jRLSUwkbZFjtX3uItbAKv+TkuDdROznC1m8DMMxDgrvPiq9raYFBABM
rmBaQ8Kyu7Hb8r6oCJp1Jzf2Jgu3BS0ofYULmGFNoOZHoIXXJiLuI7lcCig3PXhoEnNY16NQb3TJ
hrY8F1C2xpqI22La1sQ2gkZkOSP1x0Zah8eu7voWJBchdUEnrshpxr4EUXY1VdaXhkRAtWaqYMRV
cBHm7HYI7aZtY87R5RTczYPB3ZrN50JziIQbh/HEWf5Z02e5bvr0MVforKZ1cJod9wlp6o0+259/
f4WWCu5VNckXxyOhAtXglL4omJYr+Or8Zs85PcOYAZCpB1j9xulLEgS+A4nPC4SIPSNCbGtXvfsH
pcn7Ex0vbJCHR/YCNO+XZeTtC8MctEtwUsnWabAYOWif97aDQ57CUhDQQvJHbM+QdmqBiQ7YBPAp
dk3bybmgKZE+aYS51qFeMW2eKSaF0iff0YFJNEzbFCaXt3gRgLvSu/2x13wb/0/4VPziyRbiL1+a
YWFUcB3uagaQ6rvbWu1co5/sCLCiJnK/UkwTWNxSNfXuDcLbgqgUpiEtaWwnSg8gedp+8Qt0CxQu
yKz9jwXIwNRjHi2bdCSnYddkItP4Nrw4fPd6jOFs/vavXmuD4CxB0c6CBGSbXeP1tabBpNBC4m0P
Sk0MosGi4KhoNF6+6NoqIc121GeKkYo/PZ+/+MLo37mkXPzq+N4J+mmdW6fboG9Kr+9cNNJx2/i/
/3xLr+HtvWwgHsXDAWrX5YT+TtOZ4wnXlSpNt9Fk51ubnL4LMqYef/8iQN1/8TKAyoXg2IlES7y7
+kVWA79D6cj8L32GJIA9ymoonkJGmgQS8ZC7ClbeoCdYKtdmdGtm+qyFxnxdzskaO1jEvkPRpBl4
hslTUNbRDHcyBTSzkckgPLRm5F7mzlmxlGkDmfskCO3FItg5FImU7z14wY2iD+06Rka6hpi5VUfW
N1MbhRdXrrIuYv5aE5nakdMd3CFixXk8+HmjcphSzJwVBQiFVTUSjPVycC1pP27yDkhR5JbGRojm
09gy5xUlKuCgTR6zOX4Eo3idAeO6CMjCWBmUxzWA2l0DH2aluvlOGV0Vi6PqbqDxPQMTdCjoWXPR
uy+2RBrmL8PMPMTQ25fpo9VzDxoyvMNdMxN86p4jbg7m+ZL3rV8DoGa0HJE/oov2nhQzF2oTq/c0
SZC/I/W3odSOP47QfeXCqiHVx3jQlqDWWtjIxilnyS1wfL2qhBdaaeVxxvoKMCXxwi4TN6TuUjzE
KAGs2VKgmyfPWsSHfukyZRnvF777TS3kkyXZPQdMBjBEsAk4LNxDVzZryQbiM4NnIFEr9zacWN8I
atdzI93xwdAHXmc00YZHLN9K7Of4bRgZV1bsKQ07cDohys6M7Gim5W2iueeqgZeDzrv1iayNthQ/
OhtLb3gpGaCrvKlvrHim0Q50lAJjG9j5Y602+EgYKK9gLzdrlzhHusbL9LhKLABqBC9V6TM2d/IC
q56RT3+YM/nMKczdjg3JUqHBBwVWaXLUvgwY8nr4Qx1fqPaJLBaOY0u6qtQ5MoquUv2g5D4vli1z
KqivpMZLAQR95izMHcuVnezwmRkz/0mtzE+9bJNVHnIQFQY8mjEIn4vFLpVHrNa0Xh1sjMVxtDnh
MQmOGVFljzrW8I8dHRzP6gEmI9ffzEn0iCSn2EWTWh+swD4TNMVnpDw9Wgmn6pcLQ2VwasiBXEv8
Ad7LvTsxiKOhC+CmCdKWIUv86MChXJmhfq07qbuFjvPoLOmgkjtcQzRL55p7CSUNN34+QnJnnKJl
1nZamssuhUyEn/vHI5Bxh8HVuqYrxuy9p/jEbDJf5iMXq4uXakPh90H61smJ4w7SNS5/o/K4lF2B
vUb00XFQUUEDuY+90uGmJTnu8eWN83apYpAUbhKFPQ0NXn0QJhoBegzupmuJrKtKnBKpHZWXhetW
a3rwgIYnMGdzZe81CL/oARhexa2beMnYH5nE4MCSDFwXRBiOtfRZgeG2cm1aBDOfg1tX/rjAmWpe
i7S6B8RNrsCYPFcW7xreB6xwbrDOls8t6XXYVlkJ8iTkBRqOru1ywi+tKYFl2XKcH/gSOQxQDwGh
oHPtAvJBmY3KCGBK4UifDAPHZ6GSa2smKFeA8l12J1flRSAEuRtTM4ILYSXPkxoEVyIpNuDcpRfj
i17XDYHs5igg0rrf85TFRBfcuTlF1wpVw13T0C0GkXBv9qy1EmqWb47mtrbTx5b6alnOppwvAgHN
6WVR6kyWl6ht7mlAsTF2FjMybAzAM6457zCMhH5DHyp5nAiS8xydVgcO15+niWgpWKxYV2iGc7MW
9unlEzL8fV4eiSo2r5etgICo67bkjb1cg5J43jhTBqwnzDLkcAQJatIBWW6bHNh/IMxsXWiAKhJD
O5o1HYmSUMUafJlfMwH8sdI5/5+6M1uOG8my7a/cH0CZO2Y83pgjOA+iKL3AREnE4JgBx/T1d4GZ
dVsks8nulzbrhy6rtsxiRGBwP37O3mvDMF072I7KyWFFpZO1ZTUZrlpSQrajwftLOLSJo2Lmf+Xb
xiFTbXjqlrszGjx5zlyez1EhNk7KezhW83h6WYnRRFCIuRFUqoSeBHs8faPZv/cy5DYr/hcu38Qf
dwA3liqGG8AwrNolJaIaQ+XYywKhNr6DaAJpMSogwRV72VeIjYEfuBTPynXoLoVbQLPT3goZkauJ
C7k8YePMYhxXlOmsNIysuFVDyUPXBCw8iKGRLyy9FL/n1lh48V/ubps2jwmAtpUXs+pzCiqIsOYP
1oD5dy/rL9CthSIU001TkhjDoCwPddoC4WMFaAI+IIp5qh3NC+TN6tx1+dZmzXKTVpLQ1KUc1kma
bfUAodQIs+kL2NHy4C2cUSvm8RWjenp5Voouf0r9GH7JeB8KhBPKaWgh9VzqZbcJA9ZF1fEKkM+q
LkBEqo0LK5PJMyGbdteoFewivdJVUe+8noxj24X5PyRcVcwe1OeOt0vrOj5kVcmGh/rgklWyPkvs
uDvaAz2j1kG5M1rxuMEpHuyUHhYmZIBkou5sTB3DNJBb4GAArOboiYxVeouWtJNdL6seglXS7gMP
v30yJs9lXT6GTdHtRk5WPw1wMndWliKLKRTRF1V3l5Jxseeck8CrwdmOcQKLaA6LVnlWsok1eZGW
NYtDlNU7Z+aY1JfRUhpUfXlsnBhYhCb5epjhytgDHkZFmD0AYLYFFS8ponNzacnY3nkMrE9A8p60
kQER8kxiuhUGR4ZE7U4xvD+bG16nqmCxX4556HvUBq4C/+FDfXMQbR0CI68vEydTWOnSZE34ES1P
Gww4s2Ma+VlkU6PUYN5zesHoB8NNbza/05mCresdqNZ1kR0E3Mot4utjF9SPGaqDFdKuedVb7nDR
Wwu2CsLwvpIA5hKagHw8qQVFxx+zpeZvzwXQESn1rtHOid759yiLht8KBcqBrI9wM4whwC/T/Vl5
y4RhAlRL8WxIXBmxQYJhCQcVrHzHGNZEzUCceEJnVtB5s0v4BqGZwDtMrINBiujaagfBBA1ql3Cv
DTzO6O8pE0GfRRO9S2itP/GoXeD6O0tK1l/kD1+kGE6Ny8TVh1rCUm78rgiu3HiDqfDpkSWrtPHD
6Vh101pax262bxCImKAuxXljWGpTRCyZItWoDhNpLJgJMAFjzlu7nHxmxexCzCxLiU6e5VgGgKip
nySc1k1ZxNMXqyMAnTs8r4eMHQhWePg8pEa5JpAreyhqbZ/Zs3jsTZYKQ7aPRUiLI1d18zOaoaax
E+vt7HrdXpUUwfFYz7tBUTEJznBqlRomC9eyjtuGAn/KPgdJYi2k022NHpCYrgiJfTnRY8hlObB4
TX1YBWwy8sYa/YaMTyQZDbzyNew9GN9RsLeH4QnCjb9XRX8T+zwxYUCmrVH0LJpsBcv3XFreku7D
vnUlx0J261VAma1l/EQ0+aNQACR6R9y0QD2A83g8oXE7nl7GSolYUDZedF1kwzmRGt85QNY70TvN
WSvM5gvBm99S9jSizve1OQWnoWFRM4dUXaQD38anqlq1QUd1vSync5fPF9CYFX34rtoNjn9Py/kJ
CdY5BQYcEm9sqAKti6qhrkEgcw7vxeXciP61MwdiTsf8DoHntjeZfnVmxm9NGsBwQxpfi0ZW3xLB
tYfvTWoMnfnM5gmrMp4GbfglBRbXFFwV19n2/IcSpdxZZCTDfV4bYtURcrAxl+ZVEmHAVCpeT0sv
PGypc5CdjpeGYZl6ReA1i3TOaaXvK2rvtsN3OVBjmnNfQbFI4ao35SGL5B7YX3tEhPBcGPFzxG4P
V7TbtoVzGVl8z5cdHSFPwh6RPtXLsxrxmFyC6+eUR03A4drcptZkbA2+MIIX9sxiKhk4L6eWeaRB
hIRZbXTUPJYowNb9oIerqOKVQtLNzS66Yt/pKTxNdCapdTLYlm6nbmvdJ3Ta5daIGP6M6Kh3GSf6
7csuh1emOE8g7q9xovqQ7QJ5HlV8TGbyDI+xNX/PLS/+1SQj/DT8mXRAIHQQMIRayeBpClAo/MiG
lr/S5M9iFuKJjAAG9ux6L08/581t56XJicPqM00IflXm3vpjghrTvCE9nqNeyM6VgnVdGlWOPdcH
HQX9hQNMYzUR8XJ4GXPp0uzXLTUUi0JU3aCoJpe6C0h/JX8CSlF8iXpqcT5bapt7AJOU050MPSes
uNXZZM4oRmo+fsp86lUUQ6vEMK8WSRPTDyaHBiIqSJxswzztbHGaW9QX9s3L3huMvKexHd5/fPB3
/qm94PpMsiXWVSHcN8PQPgWTFKWT2sOB5iBu0bB1uu6xrmgKpgJRL+BsZmyau0yK+ryLzVyz1FQP
Tv3Vr6t74SeSd5iD7lJmaE8YW9fz7lUfXQtznNdW7hkH3OJ6Ew+iWFdDf+3mBkwwv6MA7qIvL43M
lzMS8/BfEODjZ3eERu107g3ymGKDDkOemwDpTm415ueLVJ5DyVKUepyBOoamnJcU9tvOofYyBLzi
5RCmpeXfaoRtRticFcCQ13a0VIHxMh/kzLtxIj88KinH/36LnIkA5lvIHi5dgWVG/2dHCgVLnEe8
Kfuw5UwJtDs8tcxrDy6ELxcL9UOytFL5fez/mtdNDhSNH9/W9w1Q2w8YZri2RMNOP/f1VyCZp3YS
U+l96rXw/0lxPrQNdVLswoNURtrA6IEeCBLa+qRdteTevu1XcXxf3CUWCwa9pNcfzZstdaICvfdr
JFVw8b0N0DR5mwxuvrHnqvqucd9uwyVvACzgddnn/V1QmfvJGuXjx5fh/TzF5g540rMIBuXxftMH
1qYWVVwOam8vi8DSMCDkjxIaUOO2ceybJGJ1/fgjl5/3pl1Hf5RIEMYTAhDrm59vAV7luBnqfRta
/jarJ39bR/w3CP/3YwvsEhTLAE+vyUCN9Pnh40//h7eZOQFfAEfYyyjr9cXPuahWx5hzX/sUY4qG
zrrgQPHJE/4Pl5Uus4mm3ke29G5MxW5qQp1xuv0sERzpGUl5k47fGcRftkH2berQcH38u14iMN9e
VmtB5tDflnT3l6fuj45+XTQRZUne4eZI2zO82MhqEUocWRJo5Qz+Pb4ALL2C7tkyWs/HbNr3oySM
PqqXrPTk15w9fPyd3khkll7/MkdEubKYWt89XNgemiQQFe+YSr+XFQGcfxW/CoF+mY31JymPy5Tx
zZNFwqPn2XT9kb1zMH99CbTpGW5YqHbvJ95lgy1rUxhAbMuQtCVB1YwMg8S9LP1SifyYCe9Lk7jG
qk+GC22qX50/ZCvwuPMnCcfLVPbd1wpMB8EST55039q2LH+spsiL2n0e9PRpMopnwmo5SgooFZoA
BoiQ5zFNsq9WV1W7tuQWkddMSxfRgGxGGlPUcZiATXMF/ApNhWtdDrJrVl2a/nTbA0LvcTPblCCI
3C20DrBgnnUUY3WIdLo1umgbw8lae3MEKqJgtrRMHfFiQCkRWbq28w5apbWcrYUwAbTCGhWhgYZ0
aWUtY7uXjS2dRXP8+Akx31+bZZIMF8pCsoWP/s2wlLDAseNgWO3B1oFudEiC8LoITMKQ0xfz6o4c
GiuhdZBjQOgBDC4/k9Yq9M8aN4vv0arFTrGeAf6fKqGNrYMWZNsvdfOsqEpb7BQXtCTA6fp0QqP8
0/XsxfH6+s3zUEsRM2Y5LkNpsfzGP948ehms8w3FJkUpysuADCJ6aoCHveZRmwsh083PcQc1RCcC
CTWyZNcMovpkWX3/8APMQqJOIDFpDYSDvv4WYCysqveieg8W7WQOXJhF9ULGmfvJB5nvl1BGhxjV
4WdgBIY5+PqTmIKEtUmW1z4s6Aqm1D3Edc87lPrFczaj7/E8ulLJ0l2uR008NhiBlamDaY1lMdoM
VfxkcoQnZARfWs55D0H+84sIp1zOjAWHd/rb5wBwaJxmtOGMkLPLxw/eP900BngMQB3ku8jZ3kyO
C06uJpaAah+3xLuZmY0DjmiMdd5SdYIhqrfWoH8t56UX8Yyu4+cp9z9Zsd4vkB6yCOaJpI/a77eJ
zNStV0lZ7YVd/rYCQtm4DHSQM8RQw/TZp5nvJ1j4BSHsMPdFUIs16PWNs0hI9JE0Vswvh8XPVk6b
ZSwJZhXbgowcGrgU1NBo2CJ8O7rK5/KxHEt14eYormwRPVW+nC4yu54PPQfvlbIVJ3McK+CJ2v4i
tYarj2/T+32Ub4yBloKYTDyKxtffuHFGYq7xiuw9Y8K03VbdxlB0ILTg/EQrGwWZyD4ZWv5Dwc+n
8URATBEs22/fpIzSAWqqWWKHorFZE4jBQXzEeFbaIxSrjn5qRMyoVPqI0dY9w7B789IzpN9ubAn0
IASxoIUQMijadKrH/+JY8kRrRe5IZdpWFkfMGFXjBovOozlTb730RArJwclk/LzrvGU1Sxz6tcv4
xTZ1coMXjqeztOKDPWP6jxRUJGz4XzJEVytpMNSrpEsEDEOHXewtxXw44AldJpQIPW/IXUBgtsw2
ygyjBDO3n8tJ2E06Pm6Eui/D75YBxLyq2gHKOI/hx7fyH5cN18KNz8W1BZqN1/ey8uckbmyWjWjq
4mtoHzQFOL7sTIfoBRrL2A1sDrnoG59om9PNdrjRxVD7m0Gb2bZwm+Hk4X/8a63PzYHR6IQtDwdD
5Wy6zvz2Mtq0K0miK9PaU85A4TJOuQkf/5LloXu93qONpbpAzYQJWzhv1vsmshnBEgy8Jz2O3C1i
wzYYungl7LgnGjnI1wFWkG+2H3obtKDqkz3Tfr/++qbtORaaF7RG8q2+J/BHFQxjUe5FxhStNJvx
GgdUt/UzOuFWHdgPRQWcPrFiddQAwuBOsUOOBn3sZPlvjsLlqQUBvdHMY8rexUTJYwDkTvZ3ITUh
H+WjAaZp/TJ/oLUhMScyvE7JV4yRSVbLNMChyZ7SlNyLfOnxjUs7d66Sm6Ye7AeROZtKBOdNj/vE
cWdnNy2alzwKnvk/hh5QyH+jY872Bbkje+Uxbvz4Jv1DZeFjxpC+DALc+Y67XMU/duWeWV2R4jTa
1wwpXgYEub2MhCUToSrhNZy7bMDUNh9HocRqTqgYwuSB4QHxEcsYZhaIaquGvFV265tsWd9q995O
EQQDeiQXqliA98wiPJFP+4+//ft1zzddKgree8Ex9e0ZSWNTbVHBlnvDt5ekz3a1LBVq4lT80o3K
wvyTVe9d8ezxTFGfciizqWSE92ZDBDwWTo3iJEhrG7Jw1S38Drbjl1lM+3J7NUOhnvUFJQeiEb2M
AfsO7p0FmGTb1JhkHMQsK6Qany0ebzfKly/nUNfyvi2qoeWf/3Ez3clPU0MR/ZHENQLuhu+AjZQp
APcpW67Kx5f/Hz5uecVRKlmSw8S7bUdVDma+Uu0HZ3lq0bBOBgWV3fLscHb87ETsv62CPdY4VhQU
nQjZJCfH1z8vbnqmjfDF93EcO+dBAhckJttnM9rBjlFTgD9TUZEkiy7aogw9JA45elIaxaVd2t7X
wc6D67TXYAb1VQvVb1u7nbuyB+JgBt7RDd2V9iwjL20fDJh0q65IzgsL2nfY50w3564gs4Y/nvSN
u8yubxLa4cdUF3JXpkDHjdLMN6nvVwfOMHa8NspkIACOUDCBhZZQqWFHR7LeNlFt73OoZye0HAYT
FXXVTsJec2yz9oAPuYYIyiHVGekmTFV0VXBO3s2gHzdZ4ePwifkHsWk8yUVtJ4da30wUars8C1Oc
TZzUwgXXqKjo6Ag2tNUT5tSbQuXWCYGqgw5MBenGzetiV1R2QjZRAzE7twtFlyy09pZX+8BT+Q5G
FUb0d++qzr6K4sTcGHSHz3yYMLR/ZvkdKBIBbp5yPnnRrLeFOl40ijC4phyIkeH5b/qJweKXMDJ2
eRQU/uHl3GNlqEaKVjDZppZKAVNfVXVdkBc12GtrnkBtVssNxH23wQfhMr/Q1PVe45FBmMU/MzO1
sGXXLjYL3JNgwuztZADj81kg0c43xY4hgr1euhI73wI+MZWDfR4sfz4tu6suNu8dD7XJMLooSRxt
bXWTQ3NLW/+ThtPbzQvZHy8UbzB1DAvNW+MYK6d0rFr5+OLmfYNBgBbRJ2/v28Xz5SM8FIYOvBX5
zr3CKcyhERD5CAbSalP2tF97AsQ2qiJVqu2smmtjfHYqelsU8KGsnfiK6LAvy8abFSoCuZ+6cePt
6tKrtwy/mnUF0ZqxG/4B32KkZ1hOeywbERIjp9pP2lrybW3vWexz6Pwo4Omn0nF5vYRMdY4FcclF
0W6FFXkkL7gyrRmU+vKBoRMcq6Dz96x297Qd1D6z3f7Lx6vmiwLuz8Lo5TvQIof17CP6XQTif67S
vDaNZzaGu0tdZWz6qW4PuW01HMRFS6JlnwTrJBftj1HM4SUX0r4sR1SnRWf6d5gz503ce+DPBjvd
aYCSj6I1uZR1S3UXV7sc9ODtME0teFmPn9PF3nld2+65Vw31gxmhSliNhSTAK+iuLQ88ftwb2SfF
l7Mcbl/9RgpYWqb4yiAqWuzNr3/jlHRkhrCF7jRv1flgNeNOVMQSBn3Zn15+RACJ71oMkbc4uSWY
UEIsg1nMm0yiHZkpwTYWvYi1FZO5G5A2vPEIQuG9Fi3IUfO5QotxMHrYb5osjE0SWTcKz+4Srdef
5jluCVNxGxQAs793R69nqg3Ic6FmOOQ/bjO3m1H4lMuMvTB2eQVipFkovkB2d6qp20titYD2uz0S
izi6nQzHwDsyZNfTXD3MDfHBTaxPzoA/arZFtkBF+gsz8bpHoyx+ffzIWO92Wi4nTXg0lR6tYHx5
ry8nWXdhQnpasItUQ+9EG83aS/vzJBrucmi44CptCR9VEvrhTphZ6HitU6fyDwqG5YqIN0xczJeh
tPKapUUfn8H0FT9qTDCMl4P5jL/invc9GR+jYRcHGkkai03s7pXof85pFZxxyhMY+JHsOV1r72qz
LhD1mc3acMsHnU1614/GfU5DeqPm5rPKxn63WgGR5LRJ28jxeYHlmwcqxSzp0k5xdrJn8/bxKHw3
x4EhGF8cW5z2za0u8bN3A4gBy8gB+hKvdgaSwQcAnlSEp4UaF1qZfwGZgLwj4bVToGvJbXNSY2cO
FQ+mGxGMjThuIxqekQkgBdG+frrWwpfbqdH7cYolWgL7buitR9uQ2WoKvLswTn5x1iEBhfnUWd4Z
3iFCtHERFYl/3VFPbuPMr7dBn3EcL+Jqkw9jt3fpDextRn47BpM86D0fOQaZ9UkP55+eHSYXNk1v
1r53RSFEmJgZJc8OnL9n3Ab+9fKuNHiq1oPEovjxo+q927lsbpGFQo1OLtbSt17kXNOrErpjhUVO
tUmZQz8iLIvPIMVIYEf5uLNEmF7GbhefmX7DgtdQfsmBiz72NRW8Tw4V08SvfRCSW+9ehLPT7iQq
n9E9TVFaEtnMe92nSF75d9fVC14m4LlsUrYPc+Btpmx/Ltt6vjEXeoqs5/63LMv2gFVMMjkci/O0
Fe5WAaLYxUjivwyE7N0y8A830oz7mwqGz9o20WkoW9LicknyjjBsXSDmCo5MZG86/DGHQE2sHHOg
oSoX3nmDu+JiECzLbaXUrl2+DhPTbCnE+y9EohibtmebARXh52vH9NJdSRLWj7oz0ktTlET2AHL/
DiAoQyIjGWfHcWnsgiZfQpIiY1dzIVfETLnbmF4QFSgvxPxJVfAPTwsPCb2YRY++7JKvV5rWdTOV
R6hifYyKrCFcvwYm/Xou7XLjObwQHz8v7z+PqSKKdEosDurO21O6qwqUwXPp7LI8pwCpeBuQzQVH
NEf+IZ6d+pO3Qb4vLDm2vTBEOfAyzAuWb/THIclH3labUWTv0DFZ22RCGSql754nOYOoYhbx2RgA
pIhad1eVujnAOuM+AiXfljkvv0cS0doevHA9cnKGlM5GJXputShtshg92e2rmp9CTnhzm7cs106x
bO4OMZ3OnGTXTlH+mJZlJCow9BIczl+X2Q/0izWpLahC0zIxNhG9yXvon+1xdv0LsifVjinDcw2Q
eTMPzrPysh9mzHc3gKrsJj+cz+hrmVupRxorZXNPHgArlcHK/7K1kuwEigFP6COKMgsADIJ7icgX
jQhvUxCwS8Y8gmdlnImzobO7fekuu2muEINX1CUqYZ/RuZ5BM/CuTibrR5Pr6amYWd9Uz3M+1zzi
qgFPhiqevYc8yg0cnPohgduw47pZcFf4QpWH2ZKOy7wJjJgpwARs969/mvG8g+g0do1ncJovUYZs
NLCC9Yi0YDUtu24am+3RTpTHy8JykciBeqAbAYRBhz3GnfAvZM0AXwN0OgZd5B9a0A8XRcy/IiIq
iCIMgPyWiL/RfHd7KE8NeeOoiIouJFNn+ZmGI9PL3pjnTdXLdqun0t3jUcLHmydcu8zx99nsfnEn
72eOXnetMts88nb253hqyFgdeGsiZ/L3fU30EDwWDhvL6x64XD6UpnyCwS5QBVQ6cc71jwOr49DO
7Xh5u/7HfJ+vmJdEhvz9wQuh4NX/s32hFdzo3810+7vVWffvtJHl3/yv/sO/mQefWDolAhMEEaxL
/7mn8+J3FP/Ifkw//nRw/sf/8G8Lp4nnUpjMXYmFo0u4LHV/J64EwBEcqlfMMt7f/+TfmSvuv3CU
sJEy1sHgC2bt/1s4TedfS5uTvgTzbMx67Hz/vgrXf5XGH2Wu/DVa+bOExqFjQ3zCY+qzIAP5eL1O
aVKcfOB47qEJGjs6mLVCA8epdGxWMkjiX6MiaAtkEkAbx3I1CZSTT5IEFKp5R4VjfanTND8WnYto
tiJcYVzlicHe6gzdWO9zwi6+BK2HpWEYxFVuGA7HAadwrbVHK4R4QNtOg0NbokLfiwmFzrkgkuo4
0XBbO04UR1s/7KL71sEsSC8k68CpSeM+kCS9+9oj5cOGiF+kUMJAYap1Xfi3gu7NprfEJWbEnrjF
qqYb2vbNzzqrq2GdWm1er/mx0blI0d+tGigv507cku5A3lqMkimjYppJC/M4eF/VZmIeQod46siZ
LeKppuRgkolE82kCK5Znk3szAJ+890sasINUw0WFpWENoqpfkcklthYtMmBEAWFdsbsmCtCsMLv6
A3m95Vh5q7otb2VgEJAx0AxFaU7TQpybJjlYJ3h0/U3dZy4hnEVpR+d10qXDPiSpitHYkEVqFRT1
GAFNDAmTjww8S6TupfAZIjnBtMz6wJA3M5Ov6aqJfLe4kbYwIjqqddgcFGSE8EgihJyPWnRuegp7
ei2bMg1lv9XAJ+YdsMbsESl07dz4edOZO4lrCZ9PzDK0NpnWTytrbnu9C92233udiH9Bu4o8UFN5
sC8aLR8gCgKii0QULS2s5yAYz7RBTAzYffO8bCai3ixhYF0iRcZzmVDGIrymgiJesx66iIlPDgq0
Gcg2qZMbJMRi5wqkfiWtKKZCjhj25NW3v6y89w6lacTJPunZmjZZKYAoupVPS4UIx9Xkle60yRm0
3CF9nM5xfFCDjYmzAaqS3XVonTeajDeGFkUMc8EqT8IjT4wOfLQViX/SzRRs8VHM92GRyB1R2s7J
BYG5ilOgCIUUVwvuUpVtezfZKJpj6bZXRiRDVGhDRFwOh6gVfmBkr5ChPeAcoHuiPTk82fnCYt/w
txpCOLIcjpMtFXBRO7nnadVnJZs1PT6zRCyOGjs9ThFsN1xAepNr6aJJiPQx6gd1Ffhh/63j3obw
p0NyPyLMaxF4knGkuW4Mw6ZpEC/nufcwJkl+U0+k4gxo6Qksmh9yeIG/SBzBhOt71R0Jqu3ei3XK
dU+nvUuQzjcv6Owj6Fd9UXXT71LrCnLaZBIHO4akFxhgLFw2V/VYGYN7N5STVARLKO97NXVsdSJ3
7eOQ9QRNjCTVJmZlbV0CL7dOX+udqJt6PwfeAHqTLNlcWmqXjalY202UHbLAOIm8I2KRcOYL5C76
MRQtFrI2yq6jwKpPLWkVpxqH91Vk1eEPGq8YUf9ndzxsrj9LZv9JFHf/m7DO7G60CBbV5X++Lf7f
Rhc/frIz/p/r5sev3238Znv8+w/8vT16/yJVDJqxb5EDAtyLnsNf22Mg/4U9lhh6Ns43iWTBvzhm
sm0yiwaJgOrhP3ZHFxbRgoTmzzGgwPT/39kd6bex+73aHdmDOctC6TVh/TATeL07woCrpoSz2rFJ
kig9kKSorrzWgfZqhbqbVjy9WXrIs6LSK69q4g6eTqHrTenF5pFxUbp1pdmQRFk47oUUGEdX/Zjw
n0gtk29zAhMMiA3G0q0Bz/A0ly7+T6cxxZYxlxVdlo6TJ2QhTNU3cENxsSllUjQrDrkR7WUIdaSk
8wse2oGThuw8cnT8qt/C+jFRf/v2UzVPSm1DOnPImEhczjaFCRtvPQ/BcMMumiYHMHNkZpujmMxD
PaYNDvuZvcXo8R9eW2ZNxIxdVTgiJ0dGFwU8pxvaH1W4UnUPfUemQ+Wsa6MmiMzyc/EcJ3BVURH6
FMC2bdi3RRza2LTDPHqssTUjtfTD6aflGt11lWbhYkQo9NpPK+KSrMbuf8RpOx4dyhLGPZWbfEMO
2R6akChRDCJCMD53m82Qm+5Ryg6zT0ErZ4EZmtBx8fDdd645PaKq8LtVMZsh4bWiZM/2Pbpo1two
hjFTmjvbailMzFwOF8MIdsjKM5T6sw1Z10pYUe9Mjm5k80AcjHYkbFjB174r6uNUky+3zQLyhNZg
lc16P43SKLNVFsHlOtZt64gronqHSm3r2WqDXYo90L9vcU0ux3RETyHUgkezRXndkpnKxYqPJO4V
6MGqYcufsc+swK4JIfbz6UriraXO8OJeXkWejyDL8AiwSgfYtjIsiO3SYrztEvGcTvW0LRTq4oHy
n+A7hqaMVki6rqWJhZVk2H4K50tOrPEqtxIHR6Dd7RIlJ0T1uPLIK3AHrCmB9u6YNx6HypAY/o2Q
fKcMLqydhnd0HMDeZP1XVm0afi7iIJ4PdO7OL5lTCvbNcRijYm9kIl8kD+Z6sfZsLeZaF5FpFSeX
x+Y2tyrj6I69oh4jBDkjsmuPB3chhFQn7aLBiwzocD70gDn0AfEJMjjAeZMgn9fnWUwcoCns+Jfd
t9neB9j5Nemc4rK3lHPQ/eItDkpwOEGsV07fRlfKr7ytleny1mvs8hJ5EbI15cxbNhqx6KxF+CXK
xjvVEaM2gTk+TnqAH+R5zalyCTFPgjLceKMFkLRMgZmk1l1dSkUfIYJREZnhzg0zcpQKEsORGctV
H9Jhl52+qJFNkQAaM4BIJ0ffZ3F13VcNgk8xDyuN7ZKmUtxdhTEUXGeeOo7wCJ2dHHmIY3K6A506
9bc0bzO8DaBvi+q31sm1Qna4ckJcm1nXdYCAWu+q63jLIt9Av84/QfKlikeGnBWLkXVv9zz/E9xY
Jw9/ZTLeS10E1xxAxe8mTXjSy+qscj3NrM/t8JITt9ao8dkrujONrmhdDwZ3vrJyYtXVbOCXoYzM
dIfqzwFwYpE4aCX05OapbM/TmIz7os3ZwE1SowfPw6IyOfOjwffepWk406606z18p+HCjxVGKd8Y
7rDd3LldmJ4yTiVYFbOepmlDHLU92ltljcVNQ1DoVnrE8KKQmi+R82qbgml0DrEM4R4xv9RUURzG
1rZdALnNaqMHrWROD0nakQJvhcNlwLGA5HKPBOLYcX52dfNc1RYJ09qvT6MbWjuY28GWXjcsJ9Xn
15TPLkb01jyNGCaeyqoodoKWLj+ewL9ruyOxPOsFM0QzZCXsULhunan2vw6BGf2qVI9D549d9e+z
3J8pAED23u5OsIEWoaNAGrV0095MqsuyqeM0FvHRN9u+24RyyN1Nl5TTVYv18stQdjZrXInhbrBq
KKQFwRn3BZHADBUy+UtHdZCeM3wEe606B2mfuaA8m+Xu42mTbFODGDwMI15IXxndU05Mmy/jo6Nz
f7gaKWNJpFLz8NAS9n07Yc61Mqaebu+cVcnsX8yzVtexD97TBiPc4kCzyOnuzK59wi609Cti96tq
pxLjiJpQuntgPMAM89dXoYd7LwhVexwGb9pr1vczCG3jLotxZc5WPx4QpAUnWF/DyjdpeVhEqPPa
h90DcSvVxiW6DDIM82U6POCHO+oQtFkOoOuRfavzSwbUKPzX7kDo18F3G6NEZQvxNdvj7SC7ZcSR
fmjE5OTnnp3426BxoxVCFDJ7PW86ta1JERyV9cxpUhi3inPGdiw7B059a123VhzdAULZzlZDWy0B
CS+LeSFHpLK8ygMQwz7WqyucFc7XwqhgTlt+ve44pO7iDgJuJNARVSLudlbk38WOX6xbwAnpdNYH
3Y+yk0TeY9wzGVVfVulT39NcNqR/Xkrafg7zvw1CjfY2Fgo7dcmFo95YF3phiDFwNg5E/yU/6GJh
bSJzEjc5edRGcWsOOrmMwzzGE2W5130SHzxmlke2FcVoxs0eGq8i/LdldHycPU1LbqrafltFnK9w
2BWP6YRnV5jVEyBGZ900NjbeGTKF5Nm8qr1a3iWR89NDwXdbxrx5iDv1ZQu9N9oZftwaa58+5nz0
SRsm4LWHwfYrm+zqkTEpoyNfeQE5O3bvXFZz1Zssyo4zfg1m4LubIBfVjwmG3LcupPl454SGWfD9
vHpau0z7v0krii/9qrMuk7hwn4Y09BbnK0P2iIzJJzqggGVztwesJjtnHxjEcXkx2exmnrp3FtTr
nxaixJUyl6SNYtQxsGE17x0CUNdZrZ0LgmabC13qAAwfIpHvTu5Ht8Lu7AuAi1QE9cA+r0k9cDl3
bl3X8O9rBgArO7HcH1S1MLRR3EXyMIg6O4HFNXCVYzYVqzYz1O1Q1MOwRv1hJVvRqETQF1wk4zYF
BwRanp56p2jXbCJWLAwFzazrNXKi6BKCXsDlNFO2fQ93F8Kq+pZWQf51GbP+1qWrD5ReHSmUVonU
oapTUl8RQPAi6OJQTcHM6ufjQd+CCSweXAcro5qUdVnaeX8bpUHwqFsaykluM0Zowuh2NhQljyWa
4o6voe7lPHN3a5KugWZm4uT6A+y+2nbgpvitdx4rUqzXDaTcLayodms25rcJA/GJeQSmQjGp9FvW
Jd7jFA7PfaUNAeKz7w9SFLv/R915LUdunWv7VnwDUAEL+bTRudmBZDOeoBiGyDkt4Or/B7S2JY20
bets/1Uuu2SJmp4eYK3ve6MYI66uwYzNTUJg9WtNP0NIMyxqYcqmnOyNyIf+XitT49mXNh2kIutJ
yg4a4VAMgq97C2Giv04J8RpcSsoL7b7xXaT57lvZVPKqGTOjAxedwGyLhrkk1+gSjNU+XUHNimCh
FUm3jvTJ+ugsI96WCqHyKx0aWa7MLum4Vwu4VOCGdnxVnVo5ITzHIp/7se4uRO4nB8WIq6PR2cNS
pdj1U81q7Hhq2zhPANl1i55dKDrZ3CJg0yB7/Fl0w0i/ZSmjzCuVGsFQy2XxAq2S3ZuDk+wGGgSw
kiHlx55qwA0Zfk5ek8skRmK32+w59Mg/U8depuRyVtm4MOUgXlu7HJOtNIbwfYwLsOTMT3v6MKi2
qYSPtzRN7GY6OMzYqlYmwWGUHC9rfWjtT5Ze7caPrG4fxqJONsg1pkfc1KJcaaz/WzOQykPemOGl
tXLnvaDJ4b7XWKHk/EiyPCUy5SEAykBjG8PJORXPiFdD2dzgI6XeiggP9h+ZDUBDbZClC9jc4IKj
jshDNVLOYyw57G01REkup1T5ajsjx2WdCaCdplHN0+RGcFtoffpjhf/7ZQp1/R32bcS6HovqB82i
yU6rLJ8aFvRXz7mE0F0nWDeIITOMLxH1/RLjHF0SWQvus6wiW658SjX7RR0n1aOGCWDwlFxmK/SV
TrHgEh1WbkJhA9NBI5HAhFN7aOrYPcPhuXd8P/lpaDWmTqupX7Jq0AA/9ZwWQ4aXkqrbqnzJ2qKt
FpnTdrXnK5G50oJB7mpDGTZ6xgmwjE1YBS9Gwxks4lIWZ7JQonMXiWBbKXrjUC4Q6CSY02nnpXYK
XqvHSSu8MDKgS/K6dR/xUlNlbRb2g0at1jt7jF4QBhsZxqIiMnXkUYjqUz3KEf6pxZpMpP+zUNX7
Xmmra9ZXFC13SGLPBB6pxaVPZLgl6dx8IxHD5m+NaXuKQKR2lTnQPyZF89xVevMlA9UBaRsKujdU
zMyTEQeP45ByEyW9He5oqwwxl9hOeAjwbCdrBmHlGBRA5euuJMg7hHiBSdfDh7q3xH7M9bbeJ8Qz
UTPTUWa4CGpnOFEiXZ9pfcHXElYTUT6ZXGCQa3a21TsvpM3J+5pxSy41Ujl2rEpWsNaknu6wpmX1
msDabDl1PJ1EAoyFfa40ZAlL3HUEfTr9uFGrQX/rx7zeEdRD/4OWyMXg2iPu29oYaE02SiawEM4u
WLiVIi9KPWSLKDWHD1sP2s+gTBWUzDFYK378fp5YOSfeWGd7gpyozvCgBqplT2kNAIQ52IxF8fgY
gN9pC75i6oNct4zZpcuQCKysTxh/K15sEGT6aZeK7VS7eOraq2GmsUZUkoTwVVOdlu2AkJsFysjq
6CiG3KBtmWNVOvlcFrqfgN9nFs9wPZ+bZaSO+pLzXCfNCCXHhYJKpoCeTTjayMoYmS/sYiIOiqkI
fagoVpiaQB7V1J0WZdUGH1M96YfGcRJ1hftywnufBUmwzBDkHJAjV7QpDHQI72ekMNiRBUeFC5EK
42vpMrapXZw9yMqtfpjJ4OxUxc2fTDMJH92878ZFLwCFB1XRdoUGz2hZstuNeeh4E2EEX4k2jGzE
uAnIhMioZfGqxumXo+Y3KPBNZcOVVC2h3tnjVJaxTNis+QFgCrpp2/wwsJDNdvfSvE6uhiBesEQG
rrW3kfutxxR9BUlZ030vR/WUgs4sBeUTC9dvJHXqMi7uGsv1P4qpxEZm1tV9qsqRO7tpunVXtAr7
YqtHdxOgFPqxMH0yXKU/pfR+X4vSzpFJT7iD+a7Vc2QjPHfz0j82qWrue17469gy+tdKOm4DWxK8
GMn8q3Ds/GyK2rzy2DMJx8Zeg+zdSc1vn4O2Nw6ZpU0He9IwVph6t8O0Bkbc6vlGJNWisc17ZvL6
FjdTdSB/CFlspxfbxIqsF5U/uXdfJ/yXHchc95FBj9CkJTdll0eXxh49YCpjgb0nCxaDAGdofBF8
OUb44KOF3xpmucrqlHoW2x28gj1zNepmTQNN++L2xHZVSTNs3NCtVygpCLOhCIiWIefJ5cCCdS2H
ndlEH5oNYQ5aQQZpHZdg7aRpmaLbi9CPttSvpgffienXzsPICzSZvmKSyY+TUYH366wI3A7NFl1n
u0XaRClvSx80v59mbUcGnIi7gRVw/4M04U9iQdWEgCO0H/OzQfqrNW95v1MKKBy/+cBBshN9JBg7
5ynN0YvgVA65MXgmj9DoIdDTFmWnk043dvaOvFX/PxrB/6T/wn5laYY5Y6v8j+78ZNmsO5+cBc2G
fiNZOe6b9h3GeCAyrzfc5uw4uWZdEpUUmRX5YMNdPxbsfwQxtaiWet7v0OgfB0nt41M/ijpYZ7EL
fqaHZla9QSTZxtJoFPOpIpzigtaMb97S02enohFY/wbksqHX3u1c5jBlbI1PwB9QBG2r34t+UD7q
0Gfw7pzgwVb1jv6UKoie20ifPeK9cXTVCFCAHKInpw54UKJQ3lI2HxNuhiMW0kZNDiTy1Et9LHQG
CT04D6RReC0q3jvbzsYDlhudWoKA65A4+bUu02ehF+ptK4K9PWiOJ2bQ0p7hy/IbycQwyQmpYIOi
gohX6678hj2DbwgUDbT6VX4Do/CF9idcr3ORtH/cTcGkPVlEBFWLinw24K95YJet2RG7GTgRTcap
fCC+juc0/Z7ute9J3/2e+imdZwOI+mT8MPOasxNhyDn+3hO0ttC3Po65RUuEgEBhPa8ToEnWG8q+
dGEmrrNTfPGAbqDblbIOMIuBhCbTaC6U2C1mGR87CxI91hdn3mSyeache4a/nPccKkfbcOVM3M9x
MRJppQ1sRPNu5MxbEjn10bIuM3MjqhqMckZEPU4T5T39XrLkvG9RZ2y9u/MOJuZtbFSAtyvCm0YP
LId1rXRDMd1bZpO8mCIt3+i2VrtlTkyfpM214ksyi9Q8tVT8hZvBsMDCAdLL59ovrfxTCa0uWoVm
F3xBthXV5d/DLuJPbkXgFoJ8cc0L+AnNET9T5rkV90Q5dbuIWetYKjIg0y2qlk2tJ7s8U51d5dTZ
4Pld4a9kXZydtPBvQkm910KxBoIh2qACTZuUYAkCkJeLHA7wjq2nyJcGOOkzSq6yXwSRXt0bA+lH
paDVPaDKjrAKeUZ/f6bhBTdwNmj9jYbPvIVQkP4Hdgh9Td6ytbPCKrklgFQC6UPq6pZ2T68SCn//
QnIrmSV+gE5R99eaGtzzjusnwjOOLGakliiG2nPiqSZ0qTl1XNmVY23DqDKJorIYULk71G1f2ukF
5lO9YGVE4l4YZnBFkZ1vAtLoVpRZQzIXejGAvREVeeJwqS5O3ZBTxiTTLk2wZeoHDN3tV6ZMk/1U
qfDynUbQEQt4mX/aXYOaMXE6BklkA8Ltm8cpGPxlocf9LLlNly6hDTSMpLb/EsIqvEiT1i9vyIp6
7bdJuIlIr4Eg9w0bziJu17E9BtvcMXnlDAtx/mjWyB1GGM/PzHddrq9O9Tdswnm0lI07zv4HtPcL
u+vdraXW/q3fu+F7RhzehiqeiJqzXLmTICMgBREh/pHZ79MYwaBQI+0EtDjxVDJ0pjGUN94R5dUl
InXFv65FNuXkNKHEjgDnLasHdfR5A0hfWPRDC2YGkxOura7jSpvMfj3atJD1QouuCs1oj1WMJ4BY
CjX0ir7iaJJDfDs1bbAkIVk/mJxSnmHbLS1xdIQNAbledqjFD7na4BOlVgEzGKkLxj5Cm5KyxFj+
Dc5hdWNR28N77cb6TZkV9647kPqWAlBY3zcRmmfj1lLq4DhMMs2Ad9TOX8QkSTiXPJkrIsqZRNK+
+SStld3k+d88kzpTTjWo7oTUa2aiKNOBlXKjkT4gKxfv2jdr5cJfiW8mq0EBukaXZT+m30xXTlO9
ucDsMicbcXrnS0638iUA3Yu2Omre4EReh6au5nvs0+gGWbN9C/oI25lti2ed16KsJf/NZqBbR8Jc
612dEgg7DKa2qwRNbMu+MliuO3cCaiKyMYm3sWOhoxgBMMxlHWnFQe905onqG9OVM7ybmNpz5ZQ4
XtCqkJ/5TFU5L4iIYYbsaF/5E8a23rXXpVZ086cm/Qyi9SBDKKJGKcxtmYwNOqN/sa5/gQ+jEfoj
d0kyLsoeYRgExaPnnrnN380VKsh8AiRq79yATCX3XCX1Tdnffv8if0v69d+VF1+LjP/83G/8f1P6
hZN+Fmz+69v+U1fOMZqK+i37mdn+54/9ymxTREzwByEYvxYU/0prE9w/m4549bDsCyQb/wruFwY/
gRp27i5G4WXPXey/BvcL7RcXowMeGhSs/Cy15n9D9fWnG8w0DAfDBKZGKG2TzfSPj4bUmonQxazf
5r1RMBTk5WYwq2xTx9pJR4m6i9CPUK7NYhx0P4Rv+cfABKn63Vf2Fw+o++1x/z29Pn8OOHxSJ8gJ
MYDO/vg5dDdQCq3w+y1vRLptbW1toPUoJs/qUCUfYEAr6+KTYNlFoH8jAPFCBP4xZgZZVLV+7agu
bcR24l6ITrqaH/SY1IDIaU3WJ6zKln0oNeq2BuwVhtnejt2IgZOOLJP8PLieh4HO+5G0eennqzhr
LjKR5yEh6UkHjcI74zeAo1lwVmIELrGZXLtIr1eNHrwZdlIsSYCzlibnYklMag34zy+07Bw8YhxT
z01TXvURn4c/Eu+sXwaXK9swqIPmi21gQp5DC7IwKCZ1DYG4KKRFPUemrc0w8EZxLJRibVU6QcdP
SjKBr8b3ldXsCVPeCt3e5/DFuPagBKt7Kc0X4tttCkqTE9YkhHUBnWbSKJytbkZPWLBPtTPtLWn+
KMJo66ivSqM+gFzDadnH2qzvLF/biLZYgXosByGqhaC8DMycKOEuWc35vEXaf0aVbiGD0DVsftaX
cCd/15gCbGbSM05EpA/Sng7MCEfFwYlMEFlKYyX1mKN1n6XBrlbvmtz2sOJZpIcM9yjXLki2wQ1B
q666m5DkN67ItWutYV/F+kNGNtRCVSjhbO6rXH71mbOTjfoyERQ14mpehEP5TFP8ejSjg6h0E6MZ
EIJfrFrbfeDxWiQm8d3sCNjFMmbsfjWq/SlQ/GdqZQ+9pd9hYMKsZHcPmo5gWPsssuzUqP2ho6rR
M7pgWUh4WtgAzDgi9xKfuUO27I6tJwz8PSprgs2jWYXWAxSZuqDX4LMA/6ZlIlsWTZxBVZNFELcf
alsCSas+kfgjqsp8BazNhhc+xZl2NbInu66nc4zx96mfskOTGLe+7PuNM864kRUMO0NYS1zsB3Kj
l1aVb2kpfbY6/0eiFMdxOpfmQ2NkRBBUc+N0qd5ykzJ0DtOuDOInQ8sHyPFi2cfhZfLtm15WS6K/
1r2pn43xtnbKI0EMXlOH3LPGWNyw920RXAbLzgKslX66CuKWuxYLUAtMQrSCmWyd8NIH2k1eMAy4
1PvqSDdhHjgOLtEcgU7xxVNJqwD1k+/+RAnjkMMSKlp9rFyt5s1JUnTs+mqUKKYdAs5TZ10lFyh/
byi1W8ovl1phrFOkaQCE215Qa9iGw4JchCclYspR0g2Phr1USXvb6QUCu15TO8+neLTotH0obAbf
6SHqhbmsOvsF5Nf2EsBTvPDkmDNkZPJsi2ZDhp+XT4596PNhhdXqw+oNut3B0oxAnF21GxYV9F7k
Bjts/695Uu2izvwsEsq48IFgriUbVhTZmlLLrZmrww3cM/4LG6876aN3AOONN/loBImBW+XapbYm
T21UvnlIuUBVdk4ZHal4G5ZQ0LhO6n5tjBCYimVeTKZP+q1QJ+TlFZnRpkdX40VmqIFol++F6S6N
0XrMwG4t/o+liJHN4TxajpI6z7B+sKf67OftSzdmJVx5FyKRdx6nYby3B+go6RJ92x6KwF/0WX0F
TztPevXSpuarQPTJMnOjjt1LNSZPyWhnm7bk90Fk06gUq7qH5rQjcTcayp3r8PVk+AwAnPYA75HX
ESa8qAhDxVdSx1vbGXYDVLkQ+maqyy89yTZ5F785AXZ++AyQ1lAcK0jnRV6V0tMq5wdq7Udpop8H
nlnBqq4rfY4yNAhbR8iSLBot3zqT+4YeFUFo4/L8teomtZAtiFh5EGz8c876ijfs1I7aU+XmJFvg
DjVoFfXUrHmLE5sXAwVK2A4v2IIuROhelcG5Ufv2NAm1XzSsD5uGtGFRBLspMH7gRICuRpW4BEm7
mfhaFd8/MheuERlFCEXA8sfZWKMohuPRtAwbKn1KwilIl9WuRX+xgpS51CWCqzEMqAiLlaOhmjk5
m9EneoxNM6V3hKyT3a0Et03abSqb56GmfBMusbbsY+fqu2Iy9kODcqjeW2HrJWSCbgukCWwUe8t8
6fTkwc+aVdTWG+CjBeYSryo4hFT6FdvQ35S1tSyL17DJT5lrP/W1tpOpu2xT4zA07XboS6DSfKlh
LYN5tHZqJJF/xVSy2veVPywJMUYXfaqK9mkErR+GdEsQNLH32jMq/rMYekxwbrCw3U3U+qQmN/52
UsLZi1VfLb99qxN2iNCgHs2qnxykwmYKuoqoM3fFdki7G82+kWDXKIQiElzrW2XSj6Pk5CqltXBj
XnnFtC+mDH+U4yHo7VVhq+dQfmX9dML5jd4EC5iqf2G+gJLr4mWXagfmN1JBoy+auD/DwDjrVnvS
rXobJcEVCd1K7ei/M2v32YnJN+6+WkwY6EovEztmY9Yns5K8hMUzr8hjNZp7O33tHUJf+/w1wDrf
JPFNp3ZnGxOITo7YRvjhEVvoEynsqFgKICV56kiFH0tU5mb2mgVKuhwV4921q1PfiW0hxyNbZkap
nu7FrrbN9AY7XffWTR294+4qRbWBcx0kPX/P9PEQKkcHZV4uBX7DwlxYpNI3BOplKSLgGPInuhfZ
XudQCIkM4Fju8Pm2GSboboXGejPoxyl2doNIz6ob/eidHs1UEMERcH8WoOgSkUtaURKgHgmNhnl0
q5vASG7r3CIx2rrrMjAgFGpR1r6Exzy9Ec1DTGqOXinrsonRKTRbvDT08vXEe0Q2qNMkVnnIbyu+
YDrOO3uTymELKflJZtUhjCAhK77AWtwYmWAJpXrYhWAKmvRgSNIFbOuxlvW7W3X+qjUMWn/7kLRP
BSlV0k6enEkCenduB3B6zwobEk9VlcGmgKYoet0bqAZMKKmDBCMdyzAvZWi9QKh8CL97ogBoQ05g
trCN+rFOyi0q6cfYrleEV3uW6DeBZJiZrj2kecfBS1+Ep5vZXVWS2uY3m1EzV3aveCI49oNJcwYF
uCCftBMVnjt8pWHmkSbUVoQDZ+7Fb6NzDCMbjUsrtT15J6dwXTTEYObnCjp8qRAvA20Ycn9EWLK6
u46raDmyqWIJmNyHwBZPwaDeRZ3KeeBQ231NorkYD01cZFwmnP5l3d1INbvttUum8wCR2T1Frwqt
t7JCbV50iAPi92Fot9YgbqKyDki2lnvpNuSmVtaXmz+GvJtjgTUB+VdMmq/vskigOojam0hDZp46
V4tIK8do3yLCelXV7ZamrwI3MD90iv2UtBCKY/VY0c0+VcquEwdy2sjm5sgyGEmlb+2rzLrXsmtv
roJiBAbvmqSi+sC26JHIsocAIZxHh1+0dwkE6WxuZCzb094mchD7hUWIthm6WP+nYgcDXjND1m77
DOFYPFbt1BMxY84N0u34lbcgF26Mo6tO9P6zH4pkRZSWujHNmN1hsnyEHB0Ai2PKFYJc9cPK0/DW
0TProFaBGSCSs7KtK8rksSBoYUXdoXsHvMw3qbTha8Y0vKXdegY+sXytWiKI9wTTic5DmhOuIN54
YdNop83gFOpE9Qe/pPOBP3N6h3BTt5k5tuQlx9p9YdX6WrOD9uyEJMupeZwdVMWu79n3mI8ZzCTV
2nlzi6tAvzp8Yk9xK+6WOBx2qtaUh6I3YLAVyC+7DrjjJoVm5VFzdgE6E8gtsqjAv8rqmBdxsOKu
gXiGVt8pBG8fRW77e8zHzd5FLURTgsLqJWuX7x2U6diSquLlYjwWjqDKIxjV+B63tP2o1iqIeZHD
GwEzrQNat8+GnIoX+pXcE9hR9cCiw/vjNEH27sRW96ykujkg3Qzjs9G35tV04/AOM8142wxuedIG
wPbeiOW5LtzwMBqPPWpWKLx6406txFijGQ+KYYz9Io9G8WKiLVzLquQoA7W6rXu7I8B/osaTC/M1
NCN7mxWdg5Nbyve4nvJLlw7txaQ/45x2WrzLIgptkKXPhvUoXISF061RzUKZMtcvLL1Ej9BPKAp8
oXmFEWewVUG5yeYFG21bRGFJgBA3SQf8klAiTzr0mic5nl5jMxWnUnY6YhJbO6DHRKuEsBgfeXQp
5KsMOy+OUFL1bTqeIZ25Scts7O8bnsxRi5bNmG2KQsuXXTV9wOkCvA5NR+iT3199xXpw8ulsVcmL
Fc1MW7YLCXgypi7l2EdcbslDFcUruFkKLG3TQ6wQLA1qR00UeXC4z4NS7XoqycFmjU8r5TIT8ZtB
wBDaIY9IjXVLABuR9wMXg2FK8HvHtU5OYKib3K+fpCiuIjd2keqcUqNb4rbywljnE3ebPsGSXD9q
WuuuSqV5JlEhXIxBxESZWdfe6B98RTuXIxozEMdFFCb0rio7el8x5wf9rtQqY2kqIt1m+RwqMonz
6KAXEUbqFXG+cqsQUHtocB0xlDdRtOiEse7rdp03FFSXq6Z7QkS3aIvm4IYUlJIEE6T5V5k3D/8e
7NC/Pc2/gR2OYZkwOiRSWgRQYkN2fwJd4MmYmExr2FrpE2t+dJhkJ89ygAHG4T/uVSuvTrIIplvO
p/BuiCzzqpFqfq79yhoWjZX3zw5S1Hf7+1VJ5rdmnN8fc36TwvmdSua3CxahOmjfb9z87hVTkNwP
eg6AUvBqdvM76sxvK+lt0x4PT/Pof7/MMtAb6tESZR/4vOvj/NY78/tPGUewyrKpOmZu426IUUcC
RZ2hs4v9ZFzmWk0lDEDkGp4wQJLPKUNR0LALfE4etYWorIxBv9rmyLmkNcznQRi292pcNPdq0WQH
4rcQWU91ew4mtjF3PumEj0+aQESVr4tz0JxPRCUotB9iPiXrsY1wrUGol1W4gtTiMKWOvODuDJAz
fh+2NL0N2zFxwte8ZM4o1dG9M+i6X4W6SB5hcFgYwH0BUMLBOlTjEN4abqF9+K4iVxn+Pr2MueS/
L4GiS7TNMN8MzXxH+PNtUcz3BvW645c63yX1fKuA5xSP2nzTkG/EpcOfZrELKO1ZQaFkH858OzXz
PYX7PtxJWdwU8x0WzrcZ4vmHyEeos3CmZvoEJDwgeXBr9FZa8zjUmfrsjF1LHBhty0+jaQNqZZ0Y
XwbapnhrdMjqMgCASng2V53VF7R+MMAJQvwWCKdPdpPmJ0KtIgKMREhDPU+eTgdIydK2tZTQRRFf
2ximMpM+MVzhE8sNMtM1fgYbLUr7/StSs5x5doZaj3uaFmUepjwMPSyc6aXIY+vNqYQ4ZDGHxMYa
HPZVOGcmBfIq8mFBBHjyrqvlba+nGN5LVZjVOkRuXdZsC14HXQPglZGdGKNAW6hmKVcIiu5Cts3t
oBgvdQ6U06k9m8TEXDnx+I44E7hs5MpV/GscV9e0DbOVMsT1Eq1HhsouJ4+Phf0HS8yT4qjmUe9c
d9WUxgPqViYgReh40vAi9C0CEeRe6Z0zWMqNE8lkxUVPkZyaRFdbbcOF1TbxPrSsa6TFV6SM4SGu
3GSb24zZXabuA12jcq4PJdyN7Bl6WspNqCJ5jfD/bB0t+hpHJUEqOoVMxUlHrfd4UzN/LIaMf3zg
wUC+1T+bnVbsc5JK1rklDYJVCrGpxrRear2bLZrJ2DhhQVZ0PigLrAXmGjAVWEWt3+CwbpkLxUK1
JNyHNjyUhXwkNCy/H5SSdcxJw43Rdb1DkUJC0qNdhss0IeCO+k6oIkXTNnpslWsHlSjKur5Z94J3
rXDANX305DRuj/YikM3rkPf2DnMfjMeUv5paygRhYm1IbUJSMlfHFQANwWMVNRgdM+nV2iyOL7EX
4EMhYZVKMK+NTaQhgZsxWpQq6/zFJIec/kkmpjFk5Q8dv3gs/JY/4ZGtlUIIy2vc/srPmbtAN1Ou
XTJdHxrcrQf01/5OlK46cyrRsfDtT438vmsilImngANFydAT9+lXrFtXfPGkAmkRbhIlQEZdkDdQ
WHx3qRt+krpoLlIqtRZJ1WRLpgLsKWP0Po7ieUhfkP8fW0fliaADaMzty6QVgnrn/MtqprtRK7Bk
IpwlY7ilDUVxbEHnTxScmlr0Sz3mcNRUFo8+d7isiHVAAynUBwLFG7ZX7UPi91yZVfxgE74O/++u
FJJI2IxLRBeBFt4Etn4Y7QF1q877JWsuCdp1oyWA9IneW0GtrF1U26il1yfEE7sNhmB6jp15yQz0
cT1Jag8WsiEu08MvPL36UZLh/SFSzu5SxYPQFWe7jcs3usP1XaBY6iEc3HiXtkZz9gu7vfRUUVzQ
WMt3n/PnoInK3sp5ourn2Qp/WHfCSp7eDt+T1zyDCYVYbDR+Cn3h83TGiWs8OPPIVs/DW8c3/n3x
/i2G6q+5pz+YMP87Emvzozi9ZT+a/z9oLDCxOcPpf6exlv/qpEZJ+BOZ9esP/5PMssUvriagJAn4
sRAs/ZZiYKu/kF4Aa4VkyDboj8CE8j8pBuov/B3ILgyj5MxRhfIbn6X+okP3YO4EfMF3gXXlb/BZ
7kxl/jZa8ZkcCDWBlXK+ShwIrT/ySGWtkHOaawbwWfTV2dbJrs1NabnX2MdZzjixSkciI3vuB+YD
KkCtF7afTee+hkOXIqMLDn44PSadtSHod63RBRjfkGJOORskig3q7fdHCkEeKxDLpA3W5WRu4qne
qqVXhP7KSEsmLs/qnLU18LOEtKdxvUVXtkss/daqzRPD4WaojFvD14iJXAhS/7m112PpEhVb3TtK
eT8BDfokIxhh4SVYbdL2fUrvxwDbWIbBQFpr2xiOdumgzMtutNI45YZ8LHWiBNv8gi92VY7U7mYW
W3lLdIp/nehuWTq+cW0sZqYhPme+gZghnC8Qs95OPuKMOEhv28De6sAzoMn9a1u7V9Tpz7HBVxao
BnVw1o57eYXO5AOBybIqsxsDs/jvnry/YAN/JiX/+Yc4S2sQnhHJ6PzkZhqJ+WpCmB5aKGAlsP7P
UZ/BUJ3NcTzbNVmmYZh4yWSvFBp1gFP+gxDv5/AvljfCMMh4ZVC353ipnyJ76GwlwUHQy02/EkKC
6Mbp6rVUUdX2o4lGKhRnw0+sTedPF+D+xz6P9BtTM5VdZhGLby9+jAiO15NVWxSh6dHa1vxs5RfT
jUzrLfaHxLOcQNmpLbck0ewcsGm23CD+Q4/BxbhwhnQ1kDxO75lFOoBvAq2grpUYRrFgoWtoxMeI
InYxyOm2U6PN1JC+w7v3pFfi4Nvy6MTdIUcsvy+qMjj8/YP0vzsl/9d/6v8q26/bMM//7pj8rN/+
8ZZ//uP0FrzV/9i+9T/S6KfzUrW//y2/npf6L0S+/HYo6lD5/+T/v09Sg0wo3WYNRDz2O/6fQ1Gn
NsAxdZ4aSyDo+B/6X/1F1YWFSFRFOvAtGvgbx+VPYVjfzzmqdbpKXYyoRGf/8bSM41ZI3U/91YB7
LI7lxjLCNXsZvcbG5nff01+91D8F6nEhUMMwB1vNkYJIGH76tYJMYaQC7qdyuVj3dn83ZtW2Sex1
ThjX5FYvmWp67fDk6mvFns5BNqleqD8jwVyISB5kWq6RBm3/w6fim/zDffH9qXQxy2P4eN95Br+X
xvhlVLjE0vqrMhxXLSxeag00Hgp7rSEcnfAG2Urm8R6vHWoHkfovRx9k2QfQMVuP+Jbbf/+BMEP8
+RM5QicPCCWewa34k6YwYwZXqFv1V83UhRvkfjtyu4w7fMT+WYZ4v0pTSc9l2nc1CXUT+fUAzO1k
gvwmvTEHDLwqdW7e+q2Wok9y/INhRDuU4muAJRSv+fBqy490zJc9YkGryI8WIH0yYO3qIRTNhehw
I9A6pHMukfgFlBbBEU3LCtyJXOCjWilLXAXr0siXcYrYFqtTF0Z7S7kbRHE3+dlSoHI3KiLNnXEG
p5dDRymtKvaBhaSuKm4aS2zR2qPceMaEvFPCypv6dyU/WIybCyCCfUlcjTC2ifvYd/1T3yV0SI9E
65fS3hntI/3l9FBis+uLjc4VlzUpQtfgFvYrsuNT6pge0Z6eY46rDKDSDClwNvz/x96ZNFXOnFn4
v/ReFVJqSGnRm6s7wgUuY1FsFFBQGlNDatav70flz2F/trujvffCCwfGFFwp8x3OeQ7yv2IVeTyq
obyybbmfWhvBSczoXXX7JvPnvYEBg3poK5guE2u20oxvhsTbg0Kb8GLRAiHDHXd1NeztpuLu/O75
wRUIgVCWuIQKFw4Y7q4U5g4hkJlbHXU7hnHR8ufhxwTOtm7Gh0q7IBfQyhn2se88tVnGYStd4jjo
VK3mI5F3omzOJRarNIUFtC7wzOCqdngzB39nZviu08d8rI6GvsXSuEcE/z4QTuU4H81UvbXtTxy+
8CQa0BDBXQtJM5gvqWbOQeyv8uUeq0sYR21/awZu/cgq7i2WyriBb+BsJXhog4nHg1jwsIYxj5bo
IpYSyql+xoBU0k1d80dDmpqxLCiLrxY7xb1Y4uo9sFNJD+auL03kbfDMJSc5Oo/S6sWzl4vhBKCi
/zEOa8YOqh9GKRIjFkiL+EXVeUkEtx1tYBngkycrFtNWhMX40WdZuYefI7edxmeyKUdIGfwrvOnd
1XNxLF3F4m9qhvgmGbiv0eXdubr17vUyyIdOqGb/+z39Ty/xNNdf//1f759IC1bQkU5/dv9wvfH4
2xzu//slefNepnWv//W3/SGJc76h82Jw5TsEbjl48v56Kwb0FwEUaphmv4mQkhP7r12E+40gH5R1
lPZMEZkj/u1atL+RG8ZI1eTeXEnL/5Yqjobkz4ewT+XHj0GzF7DFsSDA/vlidJsWQxlu6WOmU3Wc
2c6EcRpcofFB1NrFBLPgXHzKcaIfiAZ2wzhZpmfVdiAZrPS7joPmxmh8lFqRmq4lW++HdnDIF1W8
kIuF7Gt0wJDQ1+9Bm8RsUXX04ghf3YBnP7Ua7bWD2eqaWOgHA30eJ8WUfLhov9iDZFgihuKS+dmK
3soAJjIRntmXNb3D1ZkGUARp/J+CefZDIEwRp8tc3+jMmZIt8xQzJDaGiSBU1ENa5/JolIHjHhno
To/Mz5LXtK6/gDqUcht3NsiJKc3eUsEqkNyNI96/26z0sAMnRX490glsW9shf9Vh+smMbev06/Da
RVLdYih4oKlouCLc49zzno9qRVykLKMWzfpjaFJWR0n6ir6KXgXgBtP9EpB/244Nhh2bTZVe16wB
GyGzj/caRkvY8ojkm7FT9YM5Zp+j2zp4FyKoxMnMFtMyRwQHrfmmrAlwBnOJgax4gACEk8WPwziF
nT0aj0Mvi3toasahGN2o3NZOZN7jofNZ7sRjUgB0sUgatDheWoKMCcejNM+hShSJWTJK6eb7SMD+
7RpHAd/gvN2SfszFVtQAS056KYrreiq6bB8tIicamojOiHF4BI8t8Y3geqhYOXRCR/rUouZLDgyU
hqumcxvEMcHSeNvBhUGMI9EcIuLcsSsT6uOwdGzs6aXEGzMg224lSkLZ4JgYyLzF22LMwaWTEAg2
Cv0yQbGBdAeEGEsAEYiu+LVrPX2zYAvDg8tmb/U/Rc5dQnaOte0Y+SGpKkwA/piMkcMNd65jt9b9
nINJCIOspSUyHVnI3ejAmdsE2hrHh4xpMXCAGYs1vC14RSFRofGyZaIkCIQd8ZzVqbqWuo9jFIS1
rg+D1zBOy7BqX3W/N7qjpddV+hjcA589+blJVDJ5CtBoEB2andoOmKc2tpTxzrFvfdN5LVp5mbI1
IjY1Rdim+ph0ToJOw7wpSM9ePQcPgz18RLXz2JONPlvOfJsG9tFVJNyOfXPOYhKw8wqTBGFKA/aL
NW+ljpew0xUfmRhhnKtZnWIzty/pbBtfPM7bisS+YDAvogOcWk7+vWlCaqhGiIccUftAiXrLr/rL
Xu5VN6Bk43uIk3pVhsjuW9M8gZFJt6PWeUE754SizbxtlRufTlrkREoCa/OM9uLDp2sBq2+aEXfO
4PrxEZVHwb2ZPClQfJjbZcauzcbQu+o3PQ/LdjDDurBU1YYzNBdoHpXx7jhoyhp5wImbwKCoxg2W
jdX9YFKCVfZW4jVvUJUgeoyssrox08x7C+b4kejgdJuyUjmMUVHzymT73GGQYNlyxS9G8ufiLO1O
W/PO8qcWUCEMPpt1UFIW0Wlw5SNH302csVqxm1ngwCXVCJPRnBUFcjbhHZpAH1Tt9wcahs8CKyU1
7fwV59GdnYzAQBaQ7k6L+moZrK+x8/OPfol//d3t9C9aE/E7K/ZvUyOfyFFqbfCb9FPkEyDH/vNx
X9YTqJjUCo5GTHBRogAxB0uBlTueavcuYQychiDusCa62A9vzGpKXyFDg0hBk0n5jBc24ZwkAQJM
YUWplIm6X50vuZ55LlPfhqWSg6BcrVovlS6tn9CXeJ8tPULIlHUhm02hFsRXSDjIw5vQ+13lVkIH
kKCsw5tguRwWWDuv2b8OwOV/nyYoZjhZmt+nDPKw4npSU4KKopulQFxDUZloXeJhMMEwQNbJHrrM
YGCPoVaedIPgQo9ejL6Fmb5Yh1kJcusC4+sI8GPfp+nqCR/O0JXGaxdRNULC5NqOsmyXCQrIXATJ
Fh9nEIoSFz7ojIdFWbAJOM7OXhm5h6YR5TZgax8CPMCBPEUHbOziCs9e92WxL8KfHVe7xoYCvMvb
htSTNgcpjOewCnp23ykyu2jhbfHMTPN000hXoVNbWf6Yzq01Xs+4X8IiG91N4pIwOAXQbelQ1DYI
YgQqTbBcKESJkjXVbVrp7HqOLecCAwCTsR/F5Q8OBfzvjVz2bjWCnK5ghvKBNtkdVAn/M+7cnoSX
7F4XlbjyTMqmikW/dWOCZEQjl0rAA7ozs7Agtjs9K1aY18lkIDT1lXGQQ+Kw7BuMg8Xw/wKDJNpU
Mo5/Rk3K24qTv3+bXU4vBFbijlqXhQ1oY+hu1odTRNbRnFq1I3uyQfCu9KVYOQYpLKhCEdBkNdYV
t53GlWQM135MKJc3acJl8JSHtPGptnx0qvO57tzXJF6mHX+574BqiI3LU+xTkEF2gFaGjaitJxV0
jBv76ajhWnHPEUg32Z+xaY2Iz42fJECXCboo61An3ZVNxgkmonMhrOtWRd+j2N4CZzhhrflIQVBi
xr81hwEiTN+7+2npP1UyWbdgrb9glwbkm9fO1pKm3vuT4R/JwHuH+9FeJWuH0np58jnjN7oaPL+9
V6yrT7DUFpThWKuUyv3DMLQ/KRZpSV37c3CKYA83zwuJGfC3ykrTawduxwKW4aBm07otm+AGMccc
2vgKdyXA1q0trWpPtGcUNn1bbgZX4zaoe+yFaBsDPuycwPRd59dbqoR9VbfdzVJbEDkXZqvSqdHS
TeIR6cx0U1hWCqtZlGcwCR7Fh+Xdogez7nO3bC9uGe/wtqUnXMRFGI+IOMkcxw0E7VeMrJsK56uF
qbETvVX/YhNDgl/uVXunXyo6W/AVthLr9taNt5mdZ4dmnFZ/9brxnX4vf71pFt/l75XwsG6HUzft
EDc5JoqTNMt+YXpmmawidCZZH3crHXpq64OhkTXu0Ker62i9o/V6W+e/L+769yXu/b7QbQhbGAV+
X/TD70t/+V0ArJgf5PK/CwPnd5HgrfVCslYO/+m2fhOs/1/dlvN/jiTDhHFkyjAy+eeGa/3OP8aQ
3jefMNTAQSdAaeSt8UZ/jCG9b0A1mUN5zMBI//5bv2WztQmQpwSrLd0mF4gu6I8xJF/yfAmu2iNr
xfJMcnX+jTGktd6vf7t/GbFLnxmkZOzO3N0hfPvP92+feFKZakXKjrp5VmT1vDYSxKSPTnZF3ejp
Bxi1jyi39Jev7fJtXAGG3pAk/c5px2onh0rvpGsEr9oaqqtB1fHW8tPi0y3i/vt/Hsb/18NIjYRc
yvw/e39s3e9dl7b/9Dz+7Zv/8kD6WNzWKfa6sOPTNz2a+b88kL75Da/cOgTgCqX5Xr/y1wmA880y
WT6uA2tzRRTwb/njibQkEwWeIt9zIP5Qw9n/zhPJc/4Pj6QHT4MHMRC+CNhO/uMYluZ4yPnPxKat
SsQeo5wGpZkJO5wDUKIbuwa7sSO7Bcj2EEdztpFy1VA7E03hao4mtSvwxLkEA46WFkrgpo/gVWKA
Kx7zdDSe3HU2Fk/VcPFUmVxrJU0aXBc/BUigYCdtFpZt2Safg+0vCQO8wk9IXCJpNJpAr5GrhOc2
Ip/tOrZKh1KPujcEejrfe1OlIH0uj3Fvz1BOjmRd9P5GDJTefar1deJDIJ9Yn4o99Wafh9EUw42U
xQw9qBRjQ6k0cyf2xWI+Rm5avNrTFD9WAlu6ZzIKaPw5voEwBm9pNoblg9veRZ3oSMxAvX4fATUS
XZuf3EwAodHEBSPCs6CRQnktL1PbMsFe8mxXGvx1SjFdx/ihdpZKCCi2NVxxs4gZgZDnAAjX+lhJ
Y0ALqx7dZOen+RmDVf4xepDeGHAWwWdcGfGzAJi9KmawMkPxMgTluxjKbQcTfBfYubMxbQpakpHF
VcYHgBcFthmg8+Ea8O3LnJaEXkkxAUlc2nKiqCzNKlympgRnseT21obUf9N7Y/aelo76MkVkBgf8
LrUBDWkgssIMZrwfAfs7Fh1MKVHKkVdE+RtPoVfGACINGzisQBONXGQM0FKX9Y+kjdouVEQaISCZ
0qqhxxXI3I0qeQX+jZGI+MXkaLf8HGu2y4HIi9EPwjzuwNnjW0cfWkU6wNlDatOR8UT/WetyTPa2
qCbk3kZwkL2cXbTn3oziqwduKG0f7CX+//a5c2xxwXzunCOvb5+SMqneY/IDM+QslE3XrIRt1iD+
VP9s0B//aIOksrboZPHaBJmu36yexmSzWJ6bH7Ks1I+WtIOL41gkjSz1GJwzIOgXlTRALvwywQMY
TL6+R6IzvbQOZdsmUqbxRUCQ6259y9KvjszVh0fAxQEiMl+vRDA+tWVpo+7qlE/yeocQ5ciaJiEo
3kjKa7QpG4/k6vFgkDaArHAcXwJvrB/crlpOtlWu723eHEFGGRADag+hmGkF5hbZ9tSEkSnyj5iX
a/3WiD2vo4uiOZppm+mdQxFKM5t6l4JQLvYDTjGZ32PmHK9QD+x5Z7IeWanGfIA+xABWErPvbny7
Icm9NRl0bWRD8760CSjHyPuKCrH8GONpZyH+t9Vo/6yGgC2LmWf6w5UTpFR8ddOPiVkfNrWEUb3R
jk/Y1etz4tvRMWd2elWqYiyx5XZ8WaYQ22Etfl9a6STAg4D+COKSmRt2uEvMBZkVxkugjzD09gA2
sdtPfnQkFwZp5bxQBBJDy2xMbIBDIL5pSNRahIxeAkF/VXa2xGUIzzM0LHbPYHF13YRQ7JttspRO
tnGW1LRCNU6q2okodxSroyb9yvo6eV5kklybuZXHu6az8ewZDFZeDV4UgpeFTYxV3jT9D2VnieYV
6RhB5enCq70ot7mA3VbzHlMYPYlaamBcKNc2HcUEEt7e62+bJp8x5ZdVdepU2762JugftkufuRoy
qnnNOT0UBV1ZkCeA1HqDipqF47PZiYyEJbEwzUmm4bsTxfpsR0nywxpkRpaEq5ZdLwz4aMEUYUtA
hmDSbjeL/AlGsDjGyCDMJnVAHpdUHVwlLnNicFWfjhHLEaEyMmz+eON4k/bU3WHgxrNLPgMwztBo
ez8JaTGAj/J7evLIgDTxsZbFlr3NzaD9mp2W/cs4yQ10KG4ZZ1BHrXRzFXlpCYKLmog5HSE/WzUW
eXcQsMQTDDN49JzU67ALLCVSThzHcQoaw3OZPvc2+ylmgYxseTSbXxOB5ldmh1zNakFOoTidOJyC
onwsDV43Un1SnD5j0/xIJXjRTR34/n1Xa/FCgALwL9Tk4myiI38O9NC8kpnnX/lZERODIDu4rn4d
23c18VV3Huldz80s1z0qmsImlHhqbHQvFlqzNh1uZtlhgoTuG7/AIzex6CJ++2U2hN5f8y9M7K03
IJBHBDj7PzqQrKyQCtHe8N666hg5ggWaHl3vibNJnwcVZLdjVIk9y1YyWyPB/nIyNELGwkiNJCyW
wtobTZWeszmS35G1j5uimtRdngVmSMgFxsGxSi/oU8owWSwLqYdXMchImpeegeBzHdj11sIIWaMI
eOrQPF9yUm+3fZ7Zx8ZV5hPUN+NLZMQpbkQs+i34PPuUmRka34TcnydlxvIiq/SpqkzjElVztM2R
DzYbzA75xcgwEMQOoVDhyGKWZW2AKn6XmiX51h1/tiScZbZuowt/Wp+Ewq7fsYNG+6nqYxxxMu/D
dqlGLJ6BPMETgb5XjMvPIkEbaCxNpoHAVsld5RXtWdV45VD+p2+YA39QQC+HqQ+mQ5TiipSeSt+j
fnaYfY75g49v8GA0WM6wZZT7Bm8kXa8vjL8Eg899gvNXQMXVN9JV6q1IBuaWviUmlpdFbhV7aEUr
MbfmcGlZEp1YIHdPzcJGszR0wsLA1LuunUkOkXGWbnKmo9hjHfvgcACFKFiHJ5er5R7HL8PmdsSq
jxXN93YV85D3Bf7hjd8yqdpxIiSnoYqS29gcxKPp9PXFwmoHwCZ25dmMB1iubjI3YeGsyu7WFofM
n/xbIFFxd12yO4WiZybFjZcRgQX6NMI2m+cPHe3RL90UtuRWppRA/lXjC7eavMMiPmujZkfUl8Ul
nYi53bjQo7i/FQHBuu1SXNPg676LheQo1Kn1Ja9B9hBlLBvg+a1lv3sDRTN2vzh58Zw20czk/Mpg
s6LBIcQZs3WG44zTSA7B/Z/283gKSKSujt2ced8HgzcSa8HwIOOmOXS5su5GkQiowm7LSqg3OB4I
kYsPniq6H+Dsqns9x0bA7r4nn7cxm2svyXlXF6ZdZznbSJO9ZoQibxv9PQUsC5omGJLXxOrwYxTj
0JEinCf2k5lNzXc03/UlaOG5TJ5ebv3ewwrIteVMrKBAjG+0TuFQz0p+Vo4DUoGs2/nWGKLyKqhL
86CXYBpCPXbGTrbS+7ksfmdtfe3M7x0KcKaqqjR2zlwPH5kAs7MPbHh5IzCbY9Yv4/2QY6n9y2/Z
OEjTa+QI8OPkk43mZTOSaPadlxMBeZOW9cUf1coQU89uXjxgxQP5U8TtOVAJ+3o7YuSWO4zwSuUC
BoJR1W1LZMZyE0Ve8J2ZEDcImcAxqi6HxK7NSv14ybyoOQfEAD4EVeU9oGSvb2heinMbz8Wr4Uek
NHvENvzEEZ0cltwg9G4iofd28r0Bh3HRTW9+OpvzVTXZw4wUwhryq6QUFuvyOJ6PePncn1ERo6wu
TWwxJVpaYkFrkMwbof2AmVe8HC1uri/Dar2vOI50vxuyfMk2/YKub+spPms2inYqDqIK0mcosGJP
fkH2uhjG8mAGCj0+cLeAuy0ZXiywRQ9yFsUtXMXlsqR292X/vnx1lK0xoQsT+zGOHuZkbj+mym9v
JGTOJw3a12ri2GO0PnjvCRhVwMGOn6C1j4h0BKaGF3lYhH0H0nncmmOMjSFJZ7ZabbE6rczSyXP4
A9lKz0GBHbZNxW6PEZj7asZWA7O66ZiDmqnGmG+a9U/HaLArVxrdN7l796kam+/YXJByN25wLFiq
voAGmLGFzlN8Coa+7fbWCJkrVHD3MLk5i3HKy8Y8Con8KIchbG3cebWIrZ4iRNZdf04TW9WH3PM7
RnYWBBFaAvCCehTHejKbfAO+njgqN6EOnYeB36kv63pr11howixyFxIqJVp99qntlVIZiokBTFCx
FZFVXYA8L8e+sNfqBqPywTXb7Oi7JQse1nTiAVm8cxwtr/zwq0W9rV12x0+wVbHtHdt4NHvdX/D7
6u+klM+n3LIVpSoXfuja0RLWFuqVfBpMSgxDVNetOdfnKoiLZAM4tYrCqqiyd1UVOjmy6YrvwBnw
K+R5DTM9B5d53wfqlwafZPO64BjWRXYx1niUDT6MKtSL617HDH3Bq86GiUYftO0ksmXn+ItwUHr0
Xo5lYqAgwX4LziR1fbH1FseZYTF79bHtgKMNbpkatKYJtrNCpMo96q7lo6GMN1UAAd0dUedyI72n
BJZ5YZlGbbSZUDG0m5JwAAdbcxcx4XbJLVzGLlsjwDxG3hpvBT1b7u2IoE2uW0G4q8a596l8y0MS
P6luLSNVvZN9ov2w8PL0FOTUZVOcVzexxieM/yEKsDJJ81m5a09BhFpBIju3eEiEq75zess+K2IM
jmADyuMAKvlU9nPSkBahJnb+njAPMPOqk0G8CopbP0UL5S3FDUv5RpxsMCDxd9lPuH0GOUKf+s8w
698ZZjGJ/N+FLM8dvIH3fB2w/mm2+scsi+/9Y5ZlfTNRZ7BHJAWVYeiqF/5juCq/uZIwITTxf04u
sq1vDoJ4wVTVRg7prWl7f5V4+t/4whrU/TsL0Gci+2/MVj35j5Msi0hs2E6S6QQDMiZufx6uJhHr
dsSG4sAeVhFogMIR1IhbGbSs0n1v50jcWzPFdFPnZgjZkdmHmc8ehbPDoTi6cjzDK0rDfKBCBoHS
hEn93C8lixLigqTM3W3iIXCXlMAfSdp3JzNL7VXPERspGdslL9bguziHZ+XnoQ9Q8IEeGztT1yx3
Ark5C0lIqxmJBNXGoy3a4PuddmY+ok2p9VfMkCVE0wAZIlBpsC0Cy781uz49x0ied7PIKGdl3+yV
sJOd06l013aZf53ZVhAGyaLDBprGAatp8Jlh8wFpTfOO0DVyDtXcm4+SLucur73mwCcjt8qeiPt0
unG5wkUjtvRi7V4ssoRexPIs3YACfC98i3/oGBfZQfloQDbxMOdjmDgDRF239+/HIoPs39Rwr32n
/jCJQr51cvPsLN5bF5g3S5WyZXOKI9p8orCBN7vzfWKQTOQ6/QU54Q2Vht5Ojuz2tkbi7cXk6QCg
6PaV4RVskgxV43Cfxm6b5JH31DExnQjCGyJzi3KOMOLsmtQWHxeucrYRHQTzl9WtnKgZ3X8XaEgm
ZS+qd2q6GReojt6CbHJBQvv1ZWktDvFFGN5TgT7gSmdzi6PHMG9QoRYYtjob4IDf5eYGKVV+8tQk
j0OL7YeR+/A8oNOCU4t4g9CABYOibVhn9gDGqRIsE1u7I901d4W/4UlrN305yu8j8pnrEpA9ZOXE
Xo9B9JvIbdPPlMXAzuSpPDJ8kiWUxKQ8mJVbvg2u8O4kFsVNgYfqQ9fVj86f5Y8gWOSB0jh/UNRu
F1oJ7wVgYAGtOjHPZdrIc1ZAdGosL9nCojwTwBifB3Mq97qxjWNgjvkhih1xzwVNCwBWv0IZlPNE
uzkYCCvqbxlm5TfF5DApLXKAQWClrPO8aOKGXCuTL52k4g7bYGQt2qTzI+D46aTG1rpQxPUOORP1
8G67/niFmcAhkKrN8EEv3duoovEc0bsfEW3bT63pGwmegGq8s41MvxWUljrMs6VtQkLQ3eY2MHME
sNGoDI2rmpsPAZBBSM5IWks0+tBounwibNjgxxBANl4GxCIvTgVwHJkWH0WTTzLZtTE+InKV7AqS
OAhOux3UlcwERgg823ccF+Ce8lSkt1lC4+KT3HAZu6U7Dwj3Ltz0jOYE7t5HmInWlZN37SpLs6qf
ZiDiO7ObYYAJKxP4rhsgNBPrX3K6pHGtopwIrdEaK4sfWmZ3YrHLm2hY8kurR4gk0VTuusICr+M7
01HKEQh3Z4z1vV+P0Z3POvacKOYpQw2bCkK1b+8R/1IRBl6RnkUWQTmoZu9sJe10bQKNOpi26M6l
WY83CVPWN7emM6ZeW0EgYn6uoYsTjkDx/2RpBZFSLNUhGvECkwupH10kI9vUYbqcFlZ6kKnFuzWP
Kr+N4mK8J69kuscpMna8cLoLa9jxdPYeYUXd0WhMfZTVkJxzWBiEegMK7aTRXCwvUJcU4/1LY3gj
hCuz+hptGvENOlyCRxffeGTJK+6GVrgvVtQYyCpIPr4GaEowcSczRBpQQJrStn8B4PRREYz1i1uZ
1taA8PuSJuBwczbg3Qbg/7KzWVbvM5TlyMzzZG+2yYjiJm5xaWsaZKMV8aMjVbRPEr8j0ckf51OV
l/Y5VulymJXnHvyg8/Fa6WUbWxnsK1J2Xung5b5pRf+AumeFJ5ErWnejfE1HSx1UrJN9h7z5Vnjo
jxE7rPglRHGIPtUb0ULBW+Ardem9IT2wS6EXW1gc5JnX7dSgbQYNhhQnKjVytHGSOqFb5MlVTs15
xQimQWzu65OzWOpSo4UOszz9CSzFZwLfXtWJ5oznVgML91bbSzPBtJMPcYMKTk3zCXJx/NRkxfBV
tiboLW1Ph06vlDLZi8baefNCp2iS25VA7x/HvTHbXoxazK7PtTS6cHGgv+setWHhE17KXBn8F9Hi
ZOG6G8d+1bA6XEbyN1Y1HFWMkEym8Q1jKX3kqN5ZM828ynBGBLViAqLxklkToYI7rTvIEZbp2sVV
bnctMiW/U2SN9iVAkqQHLthlxSnps/V3seJypyc1IizVb6zTOJn7SjahP9oQChcTDbxul5k+QSw7
0YzuvgzU8GAbUFl3Pduc42TVaOdBPFHNT8FmzB7kwoCiUH17YRBTf9SwpHAlke3DMkhdTTV/npJn
nqEWfMhlqp0bgnRtBE0RU7K2nK+tURw6e1mOYBIXzE6ieKU7/aRq5/82ek8m2R5HhcXOL40jHAZG
JHHYuBXRC5ZTgTA07AcoZv2Vk1XmI5ZRCD7aAPyRSIjQG6gsIGfdxHS2bBasvSLqIll5e7+mSHtX
lmDJw/vRnJF49kebtDCumb76VB34S1/U6BBFvbBndzEKJuVl3TZvioLheDyo6JEPQPE3RaQLqVv7
774gk8lpm+TWiqEP8T+0mbtPqGPMpbqAcjHPKL/U6ziYZCFAADFD0xjgZ40C8pHwOkZ2AS7KX8qw
bRI8jIDxRe40bMs0wvnYH9Od5ZeecwBBnJxKB7wwKj9Iw8nkgNmZpt5kiFx6cImCsnqgvkjLmyIm
6XtrqAJ6BsdAmJzMlpDerWiabLwLpklfkb9b4A6x0y/FiQONxPHGsJgaRs+2lz7b9KG7jHI39HPL
emrlUOwngRWB/y7to4qSdG9nAjx4lRJoDGo9bHyRHk2Vil0vWbkwjbtbA7TKmlziSbcnXU3Vtifh
b+ObE00xpQUNfB6HeCOmzzGdpl9jLT7p//SbLIZ3rx5MJmZOXN0FRrxSJnuYgTJNw7Kyx7O0dUGx
CpdxcYQmqoYxoWwBKI0F11Nr9vaV3fhPYhkBJwqCRQThWtsIGM42aYHnF3UbY552y33S9ul1Vpbj
XWdFxiEiboDgX9UdRtfykH+WHlO/OfpklYMrSWMULZPF5mPo1VPqVnCDbT++mCiboLMN3d4AGgdZ
qvAeY7nuEkquzjATS7Z1na6o2cAG8dVsyGHfSoYMepLNh8WSeYfpM7qolPmMOVYy1BxRG3CR7m1P
ZltoFBGhVA2Q8Kiw+zQc/RLaJYN5d7cUdrNzSbqrQpGOcpdEZrLPOhnFVFcjfsSgcq6lr4edpSfn
qCbw31EXJDv89e5Njxzt6M5ODgxutAjmiatNzRaBKIdhPKVFVF3kWDD46D02mSuWMH11U90dmzFH
fA24dDsJJgNOWsoNjADnhYuOjtvTPt1B6omdQ/LQVWop/ygjyGI9vOdffpn7N17rFs9DXqoDW0Zz
hyARemuOiz9oZmdPQrN5KoeaTJI8Crhq5hKF1rqEZfo9nVuzu2casqdONc+5BNvsF/q7EVVb3L/J
7TAbP8oBO7wdV+6zXeKh9HwNt6Kiaak92Ya1MKerGlvQTkclC8bJgajer9sWmnjCDnkwmKiprhgf
zJyNguksLlb5LuI3YB2jGTFc/V1n+a9EqP9kOv3HPm016/0dpdnw/SUbTTLW2POxI1vRbAakaJbE
froXblZtMwgPz8D8pyffsoLX2R/qO5Es8bU/i+ZHBBmXXSUFPgQ8ER+Sfq6fJjtY9qZLlhIJh+yJ
dGBcyOUUCS9tCuXJ4RPAHORQShAGkL46XmAYFDUlpCvRlQeWAs6O+TXxTqnxM/aqeGsbZAkZGfkY
CO5e+qa1ELbVLtGygfUq+l4CfcUbBwsDNeW61ixz1711ihwIpWtrd6twRpx0IuUblXp8cFdCFAP7
92pwL33XP0L+BSuWlzkaTjFv3SWZ74e+JEcqX84oaIkxyAFXsL8lGYquNMGfVUx64diOtfspuoYR
lAG7m8tdURTuBsOqvi9CFXB+Up8EE514wzmScj4lbO5tVgHCu6+qdrhrYYCvQRNWdDMnufhCkJl+
1tEy4A8w0Lwzpn6olhyfLqY18kg9Qt2refCuna43jq7ICbHNlqqBEdanC1wkc/oa2um1TZaGJaab
7h2tCuS7TbEHmPQ/7J3HkuTMmWVfZV4ANCh3AMsJrSNSiw0ss6oSWgsH8PR9kOzuXwz5T3PT1ove
0GhGVmZkBML9E/eey8afpcHCItzr7CtB7kxFrrpDFChrqq7omzWMpOg6JTk3NLPfg0//eovAz6PM
hSlyzxfd2w/eoPZmYfd7GPCY2FHGfqHRpBTMlBogWyiB2oF6gbS4Cq7e0iUuBh4fdXb/XXKn3+W3
OVfi3MIU5XFJghxvpLnR6eUJG1Wg5qy5kre+i3p3ru+N70pfh2fP+UD9rzS3PXlzT5DM3UE69wld
2pv2og5IN2xi0j7LwmsIhqLBqL97DUllxmE0tyDWdzfSzY0JszR1y767FeD9A6PFkMtaKnMJ7Myb
sY2Vtg5CjODed8vjfrc/hlPn5a6tnGHp1tI4DLXAD2GXgGfqhAeXoE/CYMFtf7BhQOGNe4estb69
2fiqt6M7IuFw535rqqaHsrblKtXKe82Mol2p8YZZOFjvSQO2yQGjUoYGiNKnoBQ+OARxHPuQJs2u
feSVXdxBJHUpwxYunwMcRN14MSshlh1Ku5vnKue54jMYQTbTMpKniJj6u49EAZCcw6RlUkCTSVJZ
vFTfnaf87kK9uSEtiUHfVnOT2s3tamfI4FTRwZZzKxvNTW02t7e8yLnRpeWt5+aXxKB+VhqxvZtb
Y6EF7ltuV28DS5pPOTfQ3dxKT3NTnc/tNVAZOm2iUsZdOLff3tyIj989eTq359ncqCONNY+k1jgv
w9zGt98dfT039/nc5k9zwx9zSGd+y//aV2mGfWGeDCTzkKCbxwViHhyYbeet/vpE/cba/15VaNgm
EApCyhm/oe7/Nnn97kBtPEQ/EIO07di69iFnetuavgvMDKKZOac0ofwSN92eBQeGF5GtCMJ325uO
8da4IUztGqX2z7Hv1IFYTDJhXANTBtO8VwqD4tlyy1MX5c260wmhonhS9zUBcIRpaGXCZxpb+Gmd
MdnBCmpoBdqYNbQMNOfQuEEOlXrkVVme2VNZ+VP+QTwj2DTSF0CNTvNBlnyfafH3+TZ9n3X297kX
zkegNx+Gf/2GGahD/yDD/PsNRDFtzmMuXOl/vIE8cshGexiJX144D9Or9Vp9aK/Vvbo0d8Q05Vct
vfz1b7T/5LOz+Y2GjvPcwAfPUen86TcqBiwMxyN/i8TG/0yLJmpJUI3HSzJEk7mkki6P9Vi1cmkE
SfhpiIkcVNALX5MhBmCGY+Rv8lihvjMdKur15Fvc4SbBWPqW5FDtpYEw9IjdkKtO5uTbLhPbcfET
JWMNTbSoTlZWg5rFDbCnkuF8YpyykI573w0TInPKT4YNWbwh9aLajLjSjm4hpndEYODOMcXs+0q4
W5jo2lMWqfqEFCq5Y8sVHE1ggVDFKYgfQk9OH7aK4gQlxUAy3xDVz3ZgzedXZqb/zfrU/4lohn+f
uPP4/PNp/SEEDvzPZvX8y3+f1Tt/8/BzInj4sxDatf7GpNxGqW79UQdtir+ZLr4gcsmQIjhAQX6b
1ZPGwHcFiTQZDbqQ8l+i1zjIpv/4DcS6CtUBpTY/Dr7Ody7X744sPdNxpGnjtCVXhrE1/K4i52wC
EwmfUHQQT4UvX/ia6umqqWXEt6FJ3H4ZjHVgrBBcAHXxy6p/ULrySFEWrdi0qZad3aGb95the1+g
JWExVhDJhL4J9cFIZkpInOCRF5TBVUYvojxkjnD/XDWcZKHXR4B6eXQViJg8mlbCqOh3YwfRquM0
5joOi/TezlsxItkaySgjpsnCi1PpubctHFqmBeGdiNVQpbBwJovY3eleLmBB935833ei2lW0RQlB
i/krfIjBW3ZExfzkj+Mb62KOYOVtdY9OI7EImhrIioXKDH+rROnA1FYSqZsi6XojbNmjorUqp9hE
k7KLVTP40SVqcYXiNGVOvwqcctIPVGozu1ANjAHY1/nODuKmpe/siX5w7dd2xBkrlRyWpANr70hP
PY/Z+hidCp+1aMV04dSYCJzJSi+c6DiYqOxWbjq2DHAsBydXUteQ8Yred0klKLq31EwU4QVdW/wy
8bB/hbajaUtK5/IEC388D6onOqAVHqkUHYlDDJHLIdkZmqlIZtf6u9iqsx9WFmox07AwSNdjpbTX
hoBFEFpYroqtjaXyppmCiYtpQ69cTA3zvCVDzfSxsNKeegMnZQ3yU5YFq3XX+JKl7s2rBCN9m5yW
GKhOqzxCM2iqtlFUR4wQShYDCwKLoRp2PsZVA4PwxigRopp1Mwv0tPIW9kywrLaAzxe7+qUi/khb
xFOcqVUqhLtORFZ+6E07YAqKrW7Jat9cckwnB61uzTUswBKRXYkoLaKrWUxjPm5buyo2hTDGDTz0
4cUhFOmsB7m3YwjUPA9lEZGFGLM9siZillzddV8pM6YHoxiGWx4gcbRbRCSJ4alrbHDqp4nA1FlW
ybkzMAx1/CzWYSRU+wZ6pqYhKARjmD7LJ821mmoTN200nTUGYrPC1j9AJy12ZhZ6m9wi3kroYfZc
G+j/Ctd6IlkCTakEajkz56v+SCXBk8/GakSWhmrK6zE0Ay4tl6rTXXyVUXOs/FpfQXtm4hzkBJB3
3XCw2nxWz039stIlG18JnxMmpM37n5h+cDOEMd1ZZu+uxpzpF8+6tSVhyClXIcXbl6vs9q7zSxNQ
uTAeyMmanhHZyh0ovpEhU1w5Pc1DmT+ndBQveL3K56Rouy+23PGzY4g9sMZuZyf87Finq1w20ERv
IxCFt8rMmrs8s40P5flENVem4z2YQKaXeYgJdxlntDigOEfwf0NsEadkjYyG2T5+qCluxwVoV/vJ
NCtmBj00xFpBMR2C2Lli65DvMSX9OsyEj91VNswjXQeNahmR84sO4afT+Myriko34bRqYrzGTo6u
DEpo+WVGlfE8PwiP1uRMX6GjVLlylZ4+kSbm3I3ZMAvtyD8dwjarl2wyFH8nS/dVCpnnzSJ+Ttt2
BDuLlZem/gU8SHcYOSPufdY2v7IwGdhN9sP4kpDbRcoaR/POgmgB+dryrS+ojOhqGs+aM6YTUz52
Xo7SuaMLXE6pCKgNg/xDYq37ZdLMljAUy/SmR7I3WQ/kgPwNdzjRt7do/qZo2gxlS4yDLunRI39A
zUtbxkYM3QIF0YY+ALEHMPb6wDS3Kld1SssDgbWbdinq44pZbNjN1WqqCErgS1JKQf6C25rNfWCm
1TYqhrBY9FHXPEDKnOPHCXGnmZNHS6b+fZDa9hszs+SQ65P/rqnmQS+zAcd0B4wfhGp859UyyeCg
J9EC9Tvh4L4VdHuqVtJoDbjSewO5+kkmbntOK1z+C8aN4TURg3chqJcOLJ60jjcitac7JZtA7Uxs
9Q9IaNLHsA8Im4g1te77wDmyatXvGKepQ0QhiemQvVSUdBlqLKC96yQZvGuWj+OuLwYBxL3WcGt0
sHUXqa4iDSlhK3HARlUkltgGqjNfBfNJhk1xF1QxxVrbywPSvuxjIC3xA1Eh8Qqo/qBwWlb902hb
YDFFZD72RuSuJzt31pgd3VNQ1+WPwA/UB0QcBhAgKFt3mWhssxZTr+qdHGGZs5uZDb5G/gUzs06Y
VDvuDgUe2iq6uHFlikbsWXEVp1gl1qao5nd0tIBLO0oUmxbD4T6k6r/THFvDGaC7WbkBSMp965Ye
2z/U7smiMkRGZIXqFfvclAFBmJk+uNQRI3oPH+VqJB1tdOHaBFMjeGO/FtkxQ4lovKuzMeZmr5v6
Li+cjOAX+nTUijHu9IQh6QnBV8Xl1cvk0jRDsHHCrDiEoknB9TAN/ukgbGwWGi2hvvQtKzp6YlTe
xjR7/Uk6afTMnY1VuY5KzI+OV/T0mJo4pqmLy5S0KyIucW/SwSM2daESEK5jdtoxjfxJ30d9kz8C
ObawwsNcPU6VptvHMB+tl6LUSSJAFLmPGinLhWhy7F9znd4Wjnk/6K55sL0wIb9JB6zrBuliKiZ1
m/KGN8Tj0F1oTtu+CCIXv0K3n150VcttirVi30wuWp6JaD7Pr+yTU0MLZlvdyJfWrEMy4ZRFOSQC
G8woPgimwRB1L6lfJS8FprkzBVtlb30mLkglGy89eWPnvnkTJpQhkq9k7ZXbUSYDgcA2j3NgTyuv
Lu1HDZPnPkSXCV0BcQQLWSSQT+y/yAgpUy/asqFI3/JAV88mR2e5iM26BFptADRuJ1KHgF8PO3NI
w4OMim4PZdadhzly6/vaJgIfUJHwGUeMMVT/PppYqAFA2XKJljV5c8fZMY6MzN3Vvu5eLNS8Jmty
vf/liwacMFFINYXRWi8juKVWM9Ng3B2AiWTR0f8fjdZ9tEe/3iqvfzCcvnyp7bTe9nbdkvvRu5xY
cS/07aA1kAiKNEgfIh6Tl2rQhwVxY9MOc06frQ3LiEAQef1wQLJPOEbRgV5Zo7y0X72mHT9Lh70D
+QMReymVepzqcQbSCJ9F6YcgWSh09CBl2svHPIEo7kTDsV2mb1ElFW+ih8xyNLk+t/6stJ7CLrnF
3/Jrb1ZiF6Om3STibNhEzi2Y9drRt3QbrIS172zVrYxvaXc5q7zLWe/dzsrveNaAx0VQbwJS55cp
AYWPyt77vOWbCQhViaX33GQ6QxFd2WsyDFmTeDo9dx5m+8zQkVujSbw1bluuNGlcnCwyLpJSeVHV
urrzZ8l6MovXESOgY28N7tiF+ta3O5VyVv0seu9m+bvB+uUUVBk7EK2ZRfIZpqFzPVEsLmramWfx
LaifvsX15phr0K8pEJG319JdWbMSv+Ks4wYbxX3psLlazc59ggeqPO0XvuZ6Gl5idP1sgL2Lwk5y
C5xZ9o/RAWZ8Pw7TgeVD9dpIQz65qRxP5FlgG7DzXj43shB3HHZsbTJSX9/4Ausba1SE/rIUw3ww
2xCc2ZBQJgKbCK/TXDFrcQ8mf/iXJ3voM6EKHKbb1Jv7XGUYHdJv0wOqmQbw7+yFsJrZFpGlpZVz
ao6GtuoaNu+LAI0/YjvWN9jAggDcZtcQxoR2QJioF23tg7Ce5iEP/MlattTsqxI54HVy0u6tcCQh
3RXh7ufOdViYu7JdNrFGiTPavX51G5m+NUwxWsxjcZxdmzzUSVCvqlSsRGjjpIBR7eNm6QcIEDq5
J9ZuKNlz8o3wcDP0pvfiQ0MjgsnxUesk6G6ZuTFuB22e2hqYknzU8V9MxkvTMO3etlJ3j97IxJeV
UxA9FZqbjXjna9BZbEztr6Zmo7YtmTCPG19vARegxwnaFTvDJry2lk3LkaYkFjC0NCYuPbDp3FXj
Pd8ZAhiAX4POCSdqDU7/Yxv2u7rL8uMAkfWFY0ncy4LrIIp975j3Y/swEPbKDD+dXtQUOBomm2ho
OH5jZjyhnqK2qOQk/1fQ+Ou/KGhkciCsv/SKP/5KP/LgI//4k5zxP/7lf8oZLdOUM6SRn/fNmPxN
zgh4y0HniC/cwJn7m1nc8OACM0jDLI5oi2brtyGJIYBzYeid4RwgepiS/CuCRn7in4ckQliGpEgy
bG+m/c5Dxd8NSaKExsmKyZVhDXgvQRrtsnagm2S4sPG0TP0C5Me1DvZyh9WRxPQhhVseSlh/EyMC
jzgIfd3LWamRGkrcNVIxG5n8fA/1B0lFmgwX9iryzHIXQrXvUYIh1/9Zm36xmdIhZt1Mdf7ZRL7e
nGMdF/Oinm90KYzwuSUx4lyRJl6vOmTTPmoQvpcO48Q9pglMEkMgvHQXxzpurACfbNfZtCUiVz/8
aKrXI4ZeN1H9q8TkshRFaU5opGQ0cZo69o6DOcJwM5XJMqttBIFNQZJvhgBqmXOtTQszHUgKIGVM
y5e5F2BnGmzUE7FNx74KNY+tr+9G+XZgBvWEDQdbhE5O5QLdebsvvdh/1NtoQKelJ8m44KoklhvD
KV4rbUAMgkcyurZp2j8DmYySdVJH+nHQcUD0arwYo9HvIqNRPwod3w91KMOMJm2aK2schAkoaQgq
SQ3x7OvKOrWWpT2GiaO/akVOGqa0nH4/Vr2660GzrGsrCH66I5OmZUBeJS8cvxiQQIxJIc7Hwq13
BfLFk55G4Pj5mPNP2ZViDzzYrmltdJMX6XoIdtCzbxPoz1czI22eWLRxXDHGoRp0NcIbAyHRGkl4
NIvRQDwUop2iiDwUWN5QD5go7kGCMROONJQwQW+AGpzyU6aJGKshfpOPIKzigxoddeaB6mIATm6p
4a0hDpsSxIHD4636oSkw9hk9dxjtuKNl0XPJznk1DRo5Hfgu7jXNgavoDtWVzWmwLYC8MCFS1hXv
or5O3TjYsaDWj3yioO21BsnrlOjv1TRNh9AmxaegSTqPMQ9qXSjns03yYaNbQ7NPCjzEWe4+VpXC
mU7YPUre8EbnxECNsvMJbxp5PJ1rf0RGNx7ZMRI0btUEj7IJZ6DVvGCreMtwZSwMZ6Byqvpn0PvA
QnOG3vYapF/0kBHYVQ/xraSe6kJxIDogcCYmbzk3SDfM2pkO8Y3ImXotddNEZosYI3rke+CcGyOT
98jhZM7KZIgPaUg0Z+PolJNtXCSrwjIsd8v/ifCWcrAyUmDqdHww8SrtEp6pi87bh68VuT/Xlhch
frDwTGeFtJ/z2LUvInOtnYFnizSBrPAZchH5pveQZWuF6wOhk9986ikKNb6Urvfo5Ea5jFuqvkUg
8fGCIpPjDQJPeGdXCfGbqBSMhTmhASmHKoD43wbR/eC6IyOekeQJhN/9WxnF5SWKbHUY9VxcEhK7
atrKfuInAQYD5GrceyaLMHeqLIKtStE/ut5gPnWZo3YS0uWnl0bZ40gsWY1wKLY/eb6jL3bYlkW4
m4FyJx/N8MOAKJVCg3J7hsCs16+xjXd91DNTgHHKrGqTFHG1VUHV5lhO/XBbdkl+BQtlPfaZGRz8
WpgPSdZYJzDq6D14U+QNQbcB0VUi70I3GdjbDhDfdVKxcdfXgdzGirSvNiyzHzGPMJ+qb5nPTdG0
J+iF1to3pmrnIiwiUCl1L3meTeEirUdac8fy9aP0S2PnVSo4CqOPibBPEvDXgqkf2i70RxqrYLIa
ZaqBPTWci5O02Z1bB/q9bQ7MgVh6WiGRMcp5CtJMt5ZdOdY/FE0e9hC9WTo6+99lLSpma+4hJpyP
73xcVO0Cg1m99rUiIRteIUcFThYeLLR9jL/zC7gpJI8Ghu9Vac3JE15r7AbXyO5kzB5d8MVdN2ie
tjX/sTDUlD80vYUvs4lAEEbelTSX4JwMGQYvy4vO2KKSjWEW06Gq2/4YyMzcOaAJPpOJeWTfg0SM
c7/dMv1yjo0/8hli1z/5XsXSiH3ykrMoPzLiiKdlITq1drLs02jSgpAxjdGrnROBiq1Eut1LLOks
+eqHewN3S1iZKMKAA/+0CxzZTemsZaONyxDl6rIviIdFQ3SINLvaik7YewiWVzpSh6Q2qd0ZcCB3
I7AJUh/8wyywAEguBx01rja+4iZnSuHDSr4zfRYrqyDQ0CrCqZ3y9BGt5LDJRO9u8Ea+pjojobTE
xifr6DPWepUeTFaRTJO8LlmpwFYekMdp2LS+3d8bZHqdh14jfCQp20tNlIzjivduKHc2ppxF3tBw
NkPTLbMRsJRbmCcDPqe7KELyahayputfKORPq8Lp4qNp5S4Kt3IaQdYKP91Goc5/7Qo720K2OtQE
1sdLXzCYXk2hjojQcNsxW0SFKnd9nX5kY5odZCq7NwsBmbf0wzE6x2Pbowkz8CnlllbdVy2d7lQp
l6W7TV/g9EN3zBhfZxvoXcGqGZkIT51m/craoI/WXPHQDe2yDSlmtCBdlqqL8FiWDfdAZDbFQIcK
BIQRYix/5BAjr+w51TVKQiZ6OSg+BwfCwvO6ke7dPBeFe+XPYmgYiDF+tBqd1Gjfa0HpGew6nn0/
/OnxuL9NQq4oe84ixA8AeG02evnVPZKtaEFuSmYRT0q5n1vgKNhJmXcxOR5vWlDp64CR+YFdBM0B
RTxGANWC1fJqAgncRHw2bFbeA37xIjDYyLoeTpAs0xyWMmX9VDi4oAKZrmE3wkSus+5Wxn7wPO8H
thm2zC+2xCmiSbvcMD4nNNBNsbHu0jaodyoHVrzooUfiachJncNPmt+4A9S2S5P+4gqCrU0Ksudo
YrMwNNpwqEwyzKyqArqYiZYLyRGnCfowUhIzAlTIDHMhvHb6YVZC39EONStLTP6myYAJQxITW8Qs
W8SiT4xqaFlEtHKEqpalVa/MRqwcnfbNRf+BdT5D4KbqX5ZNmIIoeBSTQa5NHVgqB/EqaxV0VKmt
pDneaSgKD0XBXCApRwEM2y8+4NeVy8ampBBNVkdrN9c3ZRvh5pxMKEg1xns54aIgTUttsrLxz8Bl
GN1g4NmUaIRp/Gs0DJZ5CfruaJrjl2E0jDABQ+sDphIpfnaE5CJlG5lBUmpdPAgom5xkhWM7BeFW
m4qF3jDxnKme/WPr1+3TaJMON0RDv1EGy5sARIODHYaEZRmv/J6MN4DO1johXY7Ot/Q2zBqHcGlZ
wxv/qD9FmTN9Ejg+rH2M7xsbzuhJLxNrlsPMqFXZ5cmSiAUH+CB5vgKN4S6P7JD8Rse5K3vucr8r
iZup/ORqCie9EBfk3+F4cpmf5MkJ2U0CE4AJwY1vKFqkEpH3iT4ku8sDU/ya9AGUTOvnV2swjYvo
THno6lT88kLfO8vOI+tNhdGDBQ8R/by0FfzCPHrTjKw9c2ym+2pK1Aqlyg8kK97OyeN0Fdhxd2lt
w32z7ZaQJ3aG7Gm56KmLrBhXzlhlVP6RFe2LLGgIrBDlyOnRRgsofDlpzEW382pH7gmrHe8hKjYT
C8PuUESOv8oR9B7wII3PCjPEdYDJW0jHv+lkmLwp3a12lkN+4ZhYW4xBpO8FcbVxImmss5rI8zE0
ikvtECa4KP0AVrmFMhux5qrzJJajLBEvsGtw2kcuabMdBx71Y/Ea5pF4Z7eRHFCP8wDXjX1yjbZ0
UKN0zOmbKAjvWB3AwegkYVXlNPzwWfQsZcS957smv3lsZmkr9/gApvVYONWTbPvgxdV8qkwi3FYd
BRE6WjKTky28wXJvZOnH0ANB4kZFEW1R8q500TWLRNdWOpZUNoI+NopS/Ygi1T0mCOMPca1GHuu+
31vCMJBfdenabBJ9NWSJv1Mkd3n6vPKo0njvpD+RYIMIckvYCwU/ihJWR9GW1j9GLRyPaS8DVoWg
VzemwhXnZ0pfuwVdXz4p3j5b2VdNuON2CpP6pjqmU6Esyk+dB+ZCGly/j00s/xCSnQWtD+VE5aFf
d8b2nLFCWA5BND74ftRQL8TpB+vIiT+lTNdZPoU/aMZM4DK1sYp9su17r62e8F6re5yojHbxchhv
uVNo75njdRt4yeVODKBsCChMSw88UUbT07rGrXbxq/qEvjVuQi5b73nJxiUGhjW2KuREJ9dHy7Lh
8xJAbl/HfFA8WUpuizmNLfe7s8UwUYKQdAoAKbKDddFH7pdHwd+33mnIPX5+2S6HPmdQjVyK8lQ/
JLImqMvJflVq2KnAe3RnrIk0+ugWcSWCkczHXeM6wWa0a9Ij0efsE/7KN+z3/QdUV4Rlji+fkax6
pwKzwA+NmmnGRuaksqLgQxoU2GvcCc7ZmtLyBFkre3Ncv6M2EmJf6JS0naXhovYIhFwbeIQx1Uxi
qFE5aMOpynOOeGib3hZ3IJhQhReLUr9wN34du1iTRvCgfsMyZUx9592TmkTcrrvJc0mJtC690btg
BUxfKwSX2xGW4k6a1vAhGddydySEt6fdPIqDKXoXaBrgVjENd1rTqGZBzGy/xH9hrn10yvuJScW9
l3n1RzD60RanePlKQHDEEd9Ye2e0s7VMVH1mTad3LDtKue6QLuAHr4q7VrDEmlWh9S99CvpHLZfK
WTS93ZwlYvS16kbSdJPRdN/Sxpp9LuZXlOTewQ5DHxvHGFk3NIk6OnkreubgYA6nN124KjXRnQdn
Mg+1bwIAGMfstUNj+4OInfSW83VfhG1aXPy6F5cURzJLlNk9UoRMXGFSm80twfx5pbiOy1l0Pe7q
2OSoqbhE7wMAkx6BnSKFe5y528SY6oe4pIaFLsMCMYNauPLoYk4mgslllZK4KXVE2IXlOMuxSYJn
O3ajLQt4y4XL28d7lUuTVQ/+zIzy7ACRR732kwXznCr0rjMVt8kUW88ZNK+D1xvxZ+B03EW+mi5i
EvgSklIPTijNjHPe9PDXDVKGRJyKvV728KNQgJoQPWIpPnpbCyHBJJb+gXU0qRgeTMMLOzSHWUvs
NQweWluv1oFXdCS2NsbaKly63crXpg20G6gPuMzewsEvn3unQrJf2jQGLnrI0TWLK5IjlxVZ4jAo
B2BjdL1Y4cfPyBQfKbHiGY69cOKof8U8JldCj8OrD2VuW2PsIKxOJfJtwr1A0cDqpy3d9Kglgqoz
ip1ioXV2tXYqP77FJD/x0bofGOY4wfDDTgytNvpID87fYSzNCvoAM2bp4/NaYB5ImpldZF2NjE+J
XFZjVWtp9mSlOqlCbAX7Na4Q+QnNKcSjFVMueYkk7B4vWwZuyiiJnYjY5PFXU96SLvsQ+XF6jmzU
yABI86UYbNKSvjVf/23BDP8D1W+OPedRQccx7TkgTRC/9lc6uNXHP8oo+j//l9Cif5ry9g9/xd+n
wQ4BRuhBcQHagnRPXsZ/mtvnwDdDAGK0HIRz30zR/wA1gg7F2M7mBzadaWNj+k0yR4KRbUt+Hn/O
/CPdf2UabFh/ngbPAEnEDmwDgatwdc1s0d9Ng3m0mcgBjcDn+tSNxdl7NDbBBn0yGOeI0nyOMtvo
zb31lLNP7ZZT/NRUEQEoL/7QriK+OG5vY3jP3j0ftF64CzPsyNoG08y2p9HwG2KS3c9xACRRBqBT
opdOvaNUWGsjRi19epiHTMocrxaQHks7lO5XDT1whyO7pxT/CQsdlNhpRGiWq3NRd0tffjFZIciT
uhVxgCHhJOLl8+AU91m+GmETpuG4zSTRDnLocL7FG6FtdRnXm9hoAzah6WUgzdajz83Vp+7lT02r
32VzkmgUOC7LGuI7G6Rxdv6jTa/S7YGAw8TBZ4FcKgB0xQ4YnrZyzBs0socgBZJn1ZwG5m5eRgPf
T6HTnKzBiJdNWV6bDt1CFTDTJhFPxvoNLy6U8jjGqFL8EsimGD/bbzrHCh/TuicnGJTIIvbVxm4S
7v5xWbfDKpY1+aLN2YraWyuti+FbPxJH3oaC18r6kHBew3wekEMVnJ4Ma9eBzT6K4R3KBulkC4mD
CkRfdAuykguSTmRhu9GlImQnHs6/+9r8A0uO8f8Iov+eA6frjkHcoYOE/I/PFsCDBiAjcvFhyp6Y
B4Eet5vb0IsdQcFrYeqM7xx5YNSyTcsrQvatMOwjhMJuBT8ZLnwzj+J8bz/nbSeazvJdbeoYVlXn
WzerLzbDIB4sW+C4iJtVhW6iyo96Z2/rMj8ifDPY3IPsw7Q+3QkmU2BOoO1Tj/ARAsb7smtxL5I3
yusN6+1lVGebIE42ZIIua2KRKmWtirg5MQNfkTayCmpth/jxVot601v2bdS9k+Q2GsDveAPe3LB9
jAFi80huJ+oG410KcgGn7sCm7qIXSDi1IuA6coYQFjtpACOxUj35ePnZqTAiEpLBkPUza8ddmurE
jKJo7DSCpJJuOk0D4buu/zGWYlPk6OT5gaDpCYSFmo0/034xzYBwkUezrs81bJvGUI/58D7FYjiW
5sgSA6DLW+VbOJxCGEqxtQ5LY8tEFCKOtDfoi3YVch06PhBq2XgNRpARRMai6Wqt7lipChnU9P7X
j4k5i9R/7zOYnxL4hxYCQzDK3rex63cn0FRQK+IR9teySH4FWvfi8/b5tfFe1SG5VjVGmfqe9vUy
df01aOp9rIZ5ILwwGLxs8KtgBPfiFZM5UkO8a2hmnF3tfeN6LGxaNAlh/1WK/P/zdDN9+9PrJi8H
KIjOAc4FY2An/+PT3dAeldRG/rpyagcRiQWGgBeMrG/oKPHokSHLhajbORdLbJgaTllURt0H6WjI
B7dVmI5c9mRD1xVIkdJxeGYJ3S5wgzJyMxempFuP+gcO1q2VDrco7h5KzXiaIEeQ8fgT9OZDZjfo
xtyWYrJuF1i8+MWyLdZM0Tkae/NL75DaBG2rIdXHTx9P0B/TUt2HfX9Dp3gsJbVtJHOCn/yYZYX3
DsvfWGD9eJRGeu1Rl+FsKb/AJoVrYZWPqtW+vNBKl24kv7DVPDQyfgXdv637BmeW8VWmSGwYGng5
ryCo9jTCiwngahuKZ1THW3zw3sKpPxVRCyPW7iJT68bAHamWeh8uI/rrvAQyhpXPRrnH2OmMcfLW
tNwepY42xCVowoAJF3bMapmxIGjkHLdfp6R6CqLh2mG3XfUdbnKt3REPvKwCfSeq/EGEaqejZSEi
54evlw8pIP7OhIuIn6+OxUrG7i3I9X1Rqpuycf2m7kNmmOh2M7nCprL2AKJEoAGDUN/w0Z90g5zJ
XnHLRC9YgHe9A2vBgVyH0rY4tf60bkYU5CiEU4cpd/MaTw9zMCmz8lXYHb0y2TO1fiFpCwOVQ0pG
7MP0xNTpJtM6RJGNm7n9SkK64FbeiKFY/Rtz57acOJKE4VdxzMVeLQ6dhXZjJmIx2PjYGDNtem8I
GRghdAIdQNLT7ydh9SAb3L0tLswlgqxSqlRZmfnnn5C/fVt7NDaDHM7vS5IrXOQyVc9LTY+fl57+
GJB06rRo/OkDmgVKuoESYTlduwqEBPgzbQ8kjfGsRHDot4IZXTQvoV2GESSY3Pm8hjRmCQbx2ulD
rXe5DFZPuLhDx1reKlK27VKw11kT/6KkVuT/cZdD+yWFad2JFflYpvFS2vblNO17CZ3vHN8G1Bhz
5F34YytS79JQ/urSB6ejamM1X49SL4l7rOrr9UT/K5fk2wlU5r1thMPkitZtBp8bmChyjaHVdnuq
kt9R9tSBRfILNZDhlR4KphLlxC624TCQM9NZk9eEnmEsuDJNoqgyuqCr/CBU4j83eftmQ3tuyIDt
Xsu5dqCAgAvIB/6TXkiL5QiKt3EiJbdCmr54KcD+lg9bhiv3W1sAcoIw8DSrC+PEV+KQnXZIGybF
GGpJ695yvuHugAtMLgxoEqON/ShDfJqx2hWAtbkN3SsaS1MDREcRt7OvgpgCTnE9nLReNg4hglz4
b2rRIlZKL8XEmC6J/xP3oyxBVYcTY+7pmAyjp7QewvbDihic/MVPhkSUByGNOhIZFIs83GRwOy/b
f3ppBGQbtBcV574GhgimDWk5d+wMygCA5NFYN0ZbFZKyVKFpPfGJRVeUviXWk25RTNwO6VP+CN4Z
CjEa7SUSy6VFkn5Iec+qs8jvBIoJcLQhqs76tqZcw1Wh4nY7JZuxhn34Im6nxJkJb8jjGNpsLeO9
dqRx2xiQ3oSJ7FGwqGJgr3xeTyTngkbVXct+2cIR5CV/pcvgwlsZL6ksu5fGJnpprbS+HVp9YE6z
zRbsS2IsgPMERjejBJ7Y87YLAq8TG0H7ekkuvEPRb9RtW95XO2tZvVTKlFkrlEQy1RB6yHr7chvk
t7A+jxbWWu/mS3FkOK1vQZY9B04+ysm+5pNYhwkltC9kX6Z/ZOy4PXIFPmk0P+lutv40SPKrdq73
Y0qQoPYEKAcnAueq9Ik0kAU2jObvQJQ8qnJjsGIJSXFtOyGnS+Yw1/QXb7O5gdZm3s6SERzWq4v1
UgLSkFndABwvfRY9pzfRixI7OKCXm3jkyjlHO6IbuXIXrIBLC3RHFK+sWLshl90Vg/De2a7YfWGN
WKsPWRZfUXQvdRUwxZewPlJZuSUVBwGLDaF32CJObsQA+ltZ55+LfCK5dEAxeivVGDgkADqcwADr
eWPI00h1BmSCrGgylBfiDbqxe8DIi5Yn9M8NdDoZ6X4CxWALOieq0Z5O5Y828DRfveGuGZu9Ehz0
mMzDbDiPEjeOKrKw4uogsP14FPzajz4WdLYPS2LB+HExA4t2ozVwUXGmrtVslVMq5/uRBNeM7TiZ
0YpQks5lVYJvARK98oPz6wa+9XpZN4r+4ZpSeLDlB9wR4+1p6JgOPr69nTI//k3tBo62TKSEE5f5
Z3TwRsSeDuh8iGeriqp8SAdtLgs0r1WM3UCf6ebx9PGamt29dm4Q9tBEcXfzQn0F0C8CSBlrpE2f
huKzW3GfSAmiQOyGLidN9dA+1zjF421oh1aBrp9D80f5qiru9PDp3gRAe+Lb7iFHtoOjr4JI51BK
hiWFmE/5qS8GXTsvUIi8KJ91MZAUlHZPZpr+y5oH37fp93vicSUY56AshQJVeUwJAol1gna7DzGz
T7Yn8jLvJvXrSpDo+aoSERV01tSeRWhT4atLGsW6///d/8Sm8d2+QtHuzkrLas+jQwb42A8qo/L+
+qtBuZ79/lsRjKr9sGgVtRv7b8P7R22FlEZv72JlBMtxXv/+eoPvh66NVd1V9WXfnodmOKUFenna
eJ3mg+lhn4krL0LzbBCas3m0qNl+VSvKro+jl79bhQ/lR5HpVWIKzUhiEWFpKpaEkxlWYgqxOzPd
VGzfDLO3+GpZLcDQjSXbnjldmO5BTSuCjHVpOsSNSR+gs3+Y3urfZ7cmjFl2TUNsqoVtbTrKrRn6
HE0dsxJVLvedaWgsm3XqvhGsGATsmgq+M51oYc628/mqElZOWzeKoHBT6ffmbJEdfoeQf4LV/mVm
M/1qouVbxHn5BA9zkMyS6WIehllNuCaL2OWmahkk/tJ8qeSUs4ZH6ASzHppLM4rhiqjJJsl1AtlP
tuPYtQ2LwLB6gmc4Mj3bPXswZ8n+rGUop7GkTVVdUl0f2lrk3QG+qfzneRSfdeYUn7jVZIvnKe/O
AU2l35ts5mxYcVhb469HrabSr5Il0uP9eessQ0nG22osO6jNuJALXVFzuVhl0zP9M6jLzx7safBi
hmfXEdU/s6gSXuifk7IonmLV/4fC3OPmScADKrNnTdV1b+dBWD8OIBpuQOMEFnZE9THN6fb18yr8
BG/v4az8u7HIpFffFSe233+rnfD2HMiPjkwPJq8Zj7qSVDzpnQ9aEMo0fgZFQW9SPxmUDq58AjXd
zy3OOGb29ingP8snOEx25+7CrlTwt1oK17ypWo5iK3aaV8TmQ/yw1WvDo/bPNO9sOERpZz5uqdBw
hB/SQDWU/8Mayoby78wZ+qkWS7lJQ5MmSET4JCKdwGmgHqku//oecXg/+hWU0If3e8jf/B6dfe+F
VlHXQ3+ru9jFL6bu3Az/+B8AAAD//w==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12" Type="http://schemas.microsoft.com/office/2014/relationships/chartEx" Target="../charts/chartEx4.xml"/><Relationship Id="rId2" Type="http://schemas.openxmlformats.org/officeDocument/2006/relationships/hyperlink" Target="#Sheet1!A1"/><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image" Target="../media/image3.png"/><Relationship Id="rId10" Type="http://schemas.microsoft.com/office/2014/relationships/chartEx" Target="../charts/chartEx3.xml"/><Relationship Id="rId4" Type="http://schemas.openxmlformats.org/officeDocument/2006/relationships/hyperlink" Target="#KPI!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381000</xdr:colOff>
      <xdr:row>0</xdr:row>
      <xdr:rowOff>68580</xdr:rowOff>
    </xdr:from>
    <xdr:to>
      <xdr:col>10</xdr:col>
      <xdr:colOff>472440</xdr:colOff>
      <xdr:row>8</xdr:row>
      <xdr:rowOff>60960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A53D2386-3EC3-A881-4CCC-E509CDA6FA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2060" y="68580"/>
              <a:ext cx="88239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19</xdr:row>
      <xdr:rowOff>45720</xdr:rowOff>
    </xdr:from>
    <xdr:to>
      <xdr:col>2</xdr:col>
      <xdr:colOff>228600</xdr:colOff>
      <xdr:row>21</xdr:row>
      <xdr:rowOff>106680</xdr:rowOff>
    </xdr:to>
    <xdr:sp macro="" textlink="$B$10">
      <xdr:nvSpPr>
        <xdr:cNvPr id="3" name="TextBox 2">
          <a:extLst>
            <a:ext uri="{FF2B5EF4-FFF2-40B4-BE49-F238E27FC236}">
              <a16:creationId xmlns:a16="http://schemas.microsoft.com/office/drawing/2014/main" id="{FD4FC9A1-11DC-6B9A-6757-346C5DAA5392}"/>
            </a:ext>
          </a:extLst>
        </xdr:cNvPr>
        <xdr:cNvSpPr txBox="1"/>
      </xdr:nvSpPr>
      <xdr:spPr>
        <a:xfrm>
          <a:off x="259080" y="2971800"/>
          <a:ext cx="1630680"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2E8831-FD5E-44EF-8E7B-1380D387C8D6}" type="TxLink">
            <a:rPr lang="en-US" sz="1100" b="0" i="0" u="none" strike="noStrike">
              <a:solidFill>
                <a:srgbClr val="000000"/>
              </a:solidFill>
              <a:latin typeface="Calibri"/>
              <a:ea typeface="Calibri"/>
              <a:cs typeface="Calibri"/>
            </a:rPr>
            <a:t>21320893.73</a:t>
          </a:fld>
          <a:endParaRPr lang="en-IN" sz="1100"/>
        </a:p>
      </xdr:txBody>
    </xdr:sp>
    <xdr:clientData/>
  </xdr:twoCellAnchor>
  <xdr:twoCellAnchor>
    <xdr:from>
      <xdr:col>2</xdr:col>
      <xdr:colOff>655320</xdr:colOff>
      <xdr:row>21</xdr:row>
      <xdr:rowOff>171450</xdr:rowOff>
    </xdr:from>
    <xdr:to>
      <xdr:col>4</xdr:col>
      <xdr:colOff>335280</xdr:colOff>
      <xdr:row>26</xdr:row>
      <xdr:rowOff>60960</xdr:rowOff>
    </xdr:to>
    <xdr:graphicFrame macro="">
      <xdr:nvGraphicFramePr>
        <xdr:cNvPr id="4" name="Chart 3">
          <a:extLst>
            <a:ext uri="{FF2B5EF4-FFF2-40B4-BE49-F238E27FC236}">
              <a16:creationId xmlns:a16="http://schemas.microsoft.com/office/drawing/2014/main" id="{EF33FA00-8D83-B136-7452-83E52955B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22</xdr:row>
      <xdr:rowOff>34290</xdr:rowOff>
    </xdr:from>
    <xdr:to>
      <xdr:col>6</xdr:col>
      <xdr:colOff>358140</xdr:colOff>
      <xdr:row>29</xdr:row>
      <xdr:rowOff>22860</xdr:rowOff>
    </xdr:to>
    <xdr:graphicFrame macro="">
      <xdr:nvGraphicFramePr>
        <xdr:cNvPr id="5" name="Chart 4">
          <a:extLst>
            <a:ext uri="{FF2B5EF4-FFF2-40B4-BE49-F238E27FC236}">
              <a16:creationId xmlns:a16="http://schemas.microsoft.com/office/drawing/2014/main" id="{A4624F3D-4EDE-770A-C7DD-D968D7B1A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19</xdr:row>
      <xdr:rowOff>99060</xdr:rowOff>
    </xdr:from>
    <xdr:to>
      <xdr:col>5</xdr:col>
      <xdr:colOff>571500</xdr:colOff>
      <xdr:row>22</xdr:row>
      <xdr:rowOff>7620</xdr:rowOff>
    </xdr:to>
    <xdr:sp macro="" textlink="$E$11">
      <xdr:nvSpPr>
        <xdr:cNvPr id="6" name="TextBox 5">
          <a:extLst>
            <a:ext uri="{FF2B5EF4-FFF2-40B4-BE49-F238E27FC236}">
              <a16:creationId xmlns:a16="http://schemas.microsoft.com/office/drawing/2014/main" id="{A0EF2F3E-B970-694E-4610-69FEC886BD1A}"/>
            </a:ext>
          </a:extLst>
        </xdr:cNvPr>
        <xdr:cNvSpPr txBox="1"/>
      </xdr:nvSpPr>
      <xdr:spPr>
        <a:xfrm>
          <a:off x="3307080" y="3573780"/>
          <a:ext cx="138684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FC1123-FA56-4BBA-88CE-C4EE304903A0}" type="TxLink">
            <a:rPr lang="en-US" sz="1100" b="0" i="0" u="none" strike="noStrike">
              <a:solidFill>
                <a:srgbClr val="000000"/>
              </a:solidFill>
              <a:latin typeface="Calibri"/>
              <a:ea typeface="Calibri"/>
              <a:cs typeface="Calibri"/>
            </a:rPr>
            <a:t>16361431.26</a:t>
          </a:fld>
          <a:endParaRPr lang="en-IN" sz="1100"/>
        </a:p>
      </xdr:txBody>
    </xdr:sp>
    <xdr:clientData/>
  </xdr:twoCellAnchor>
  <xdr:twoCellAnchor>
    <xdr:from>
      <xdr:col>9</xdr:col>
      <xdr:colOff>114300</xdr:colOff>
      <xdr:row>21</xdr:row>
      <xdr:rowOff>15240</xdr:rowOff>
    </xdr:from>
    <xdr:to>
      <xdr:col>10</xdr:col>
      <xdr:colOff>403860</xdr:colOff>
      <xdr:row>23</xdr:row>
      <xdr:rowOff>0</xdr:rowOff>
    </xdr:to>
    <xdr:sp macro="" textlink="$J$11">
      <xdr:nvSpPr>
        <xdr:cNvPr id="7" name="TextBox 6">
          <a:extLst>
            <a:ext uri="{FF2B5EF4-FFF2-40B4-BE49-F238E27FC236}">
              <a16:creationId xmlns:a16="http://schemas.microsoft.com/office/drawing/2014/main" id="{16F12A18-FCB4-61AE-19BA-62A1FD32A049}"/>
            </a:ext>
          </a:extLst>
        </xdr:cNvPr>
        <xdr:cNvSpPr txBox="1"/>
      </xdr:nvSpPr>
      <xdr:spPr>
        <a:xfrm>
          <a:off x="8846820" y="3855720"/>
          <a:ext cx="115062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2FD689-BF82-4542-B73B-6080C1224CB8}" type="TxLink">
            <a:rPr lang="en-US" sz="1100" b="0" i="0" u="none" strike="noStrike">
              <a:solidFill>
                <a:srgbClr val="000000"/>
              </a:solidFill>
              <a:latin typeface="Calibri"/>
              <a:ea typeface="Calibri"/>
              <a:cs typeface="Calibri"/>
            </a:rPr>
            <a:t>4959462.47</a:t>
          </a:fld>
          <a:endParaRPr lang="en-IN" sz="1100"/>
        </a:p>
      </xdr:txBody>
    </xdr:sp>
    <xdr:clientData/>
  </xdr:twoCellAnchor>
  <xdr:twoCellAnchor>
    <xdr:from>
      <xdr:col>7</xdr:col>
      <xdr:colOff>708660</xdr:colOff>
      <xdr:row>24</xdr:row>
      <xdr:rowOff>163830</xdr:rowOff>
    </xdr:from>
    <xdr:to>
      <xdr:col>9</xdr:col>
      <xdr:colOff>426720</xdr:colOff>
      <xdr:row>32</xdr:row>
      <xdr:rowOff>106680</xdr:rowOff>
    </xdr:to>
    <xdr:graphicFrame macro="">
      <xdr:nvGraphicFramePr>
        <xdr:cNvPr id="8" name="Chart 7">
          <a:extLst>
            <a:ext uri="{FF2B5EF4-FFF2-40B4-BE49-F238E27FC236}">
              <a16:creationId xmlns:a16="http://schemas.microsoft.com/office/drawing/2014/main" id="{6A7B4A29-4DCC-8987-80C7-BCBC9164E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678180</xdr:colOff>
      <xdr:row>27</xdr:row>
      <xdr:rowOff>175260</xdr:rowOff>
    </xdr:from>
    <xdr:to>
      <xdr:col>18</xdr:col>
      <xdr:colOff>723900</xdr:colOff>
      <xdr:row>36</xdr:row>
      <xdr:rowOff>83820</xdr:rowOff>
    </xdr:to>
    <xdr:graphicFrame macro="">
      <xdr:nvGraphicFramePr>
        <xdr:cNvPr id="10" name="Chart 9">
          <a:extLst>
            <a:ext uri="{FF2B5EF4-FFF2-40B4-BE49-F238E27FC236}">
              <a16:creationId xmlns:a16="http://schemas.microsoft.com/office/drawing/2014/main" id="{D03ED343-2113-8240-D742-74A6DEF71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160020</xdr:colOff>
      <xdr:row>39</xdr:row>
      <xdr:rowOff>34290</xdr:rowOff>
    </xdr:from>
    <xdr:to>
      <xdr:col>22</xdr:col>
      <xdr:colOff>563880</xdr:colOff>
      <xdr:row>50</xdr:row>
      <xdr:rowOff>152400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628FEF8B-0A91-0B89-A2DF-88652230A4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398240" y="7166610"/>
              <a:ext cx="3604260" cy="2129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312420</xdr:colOff>
      <xdr:row>41</xdr:row>
      <xdr:rowOff>57150</xdr:rowOff>
    </xdr:from>
    <xdr:to>
      <xdr:col>25</xdr:col>
      <xdr:colOff>640080</xdr:colOff>
      <xdr:row>48</xdr:row>
      <xdr:rowOff>30480</xdr:rowOff>
    </xdr:to>
    <xdr:graphicFrame macro="">
      <xdr:nvGraphicFramePr>
        <xdr:cNvPr id="12" name="Chart 11">
          <a:extLst>
            <a:ext uri="{FF2B5EF4-FFF2-40B4-BE49-F238E27FC236}">
              <a16:creationId xmlns:a16="http://schemas.microsoft.com/office/drawing/2014/main" id="{33E6175E-B28B-1200-CFE5-5BFD25FA1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236220</xdr:colOff>
      <xdr:row>37</xdr:row>
      <xdr:rowOff>125730</xdr:rowOff>
    </xdr:from>
    <xdr:to>
      <xdr:col>37</xdr:col>
      <xdr:colOff>289560</xdr:colOff>
      <xdr:row>52</xdr:row>
      <xdr:rowOff>125730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3AB1FDC4-1FC5-EB51-2F31-9968A71E8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847040" y="68922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18</xdr:col>
      <xdr:colOff>0</xdr:colOff>
      <xdr:row>3</xdr:row>
      <xdr:rowOff>121920</xdr:rowOff>
    </xdr:to>
    <xdr:sp macro="" textlink="">
      <xdr:nvSpPr>
        <xdr:cNvPr id="2" name="Rectangle 1">
          <a:extLst>
            <a:ext uri="{FF2B5EF4-FFF2-40B4-BE49-F238E27FC236}">
              <a16:creationId xmlns:a16="http://schemas.microsoft.com/office/drawing/2014/main" id="{CE3EAE65-C87C-900C-E694-65B3DE150F70}"/>
            </a:ext>
          </a:extLst>
        </xdr:cNvPr>
        <xdr:cNvSpPr/>
      </xdr:nvSpPr>
      <xdr:spPr>
        <a:xfrm>
          <a:off x="0" y="15240"/>
          <a:ext cx="10972800" cy="655320"/>
        </a:xfrm>
        <a:prstGeom prst="rect">
          <a:avLst/>
        </a:prstGeom>
        <a:ln>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137161</xdr:colOff>
      <xdr:row>0</xdr:row>
      <xdr:rowOff>53340</xdr:rowOff>
    </xdr:from>
    <xdr:to>
      <xdr:col>2</xdr:col>
      <xdr:colOff>449581</xdr:colOff>
      <xdr:row>3</xdr:row>
      <xdr:rowOff>68725</xdr:rowOff>
    </xdr:to>
    <xdr:pic>
      <xdr:nvPicPr>
        <xdr:cNvPr id="4" name="Picture 3">
          <a:extLst>
            <a:ext uri="{FF2B5EF4-FFF2-40B4-BE49-F238E27FC236}">
              <a16:creationId xmlns:a16="http://schemas.microsoft.com/office/drawing/2014/main" id="{B057442E-E718-2B7F-AD74-02080C30D8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8" t="36553" r="20832" b="41477"/>
        <a:stretch>
          <a:fillRect/>
        </a:stretch>
      </xdr:blipFill>
      <xdr:spPr>
        <a:xfrm>
          <a:off x="137161" y="53340"/>
          <a:ext cx="1531620" cy="564025"/>
        </a:xfrm>
        <a:prstGeom prst="rect">
          <a:avLst/>
        </a:prstGeom>
      </xdr:spPr>
    </xdr:pic>
    <xdr:clientData/>
  </xdr:twoCellAnchor>
  <xdr:twoCellAnchor>
    <xdr:from>
      <xdr:col>3</xdr:col>
      <xdr:colOff>373380</xdr:colOff>
      <xdr:row>0</xdr:row>
      <xdr:rowOff>129540</xdr:rowOff>
    </xdr:from>
    <xdr:to>
      <xdr:col>17</xdr:col>
      <xdr:colOff>297180</xdr:colOff>
      <xdr:row>3</xdr:row>
      <xdr:rowOff>53340</xdr:rowOff>
    </xdr:to>
    <xdr:sp macro="" textlink="">
      <xdr:nvSpPr>
        <xdr:cNvPr id="5" name="Rectangle 4">
          <a:extLst>
            <a:ext uri="{FF2B5EF4-FFF2-40B4-BE49-F238E27FC236}">
              <a16:creationId xmlns:a16="http://schemas.microsoft.com/office/drawing/2014/main" id="{CD9CC8AB-ACC7-AD0B-BE6C-D6DF9667592B}"/>
            </a:ext>
          </a:extLst>
        </xdr:cNvPr>
        <xdr:cNvSpPr/>
      </xdr:nvSpPr>
      <xdr:spPr>
        <a:xfrm>
          <a:off x="2202180" y="129540"/>
          <a:ext cx="8458200" cy="47244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lgerian" panose="04020705040A02060702" pitchFamily="82" charset="0"/>
            </a:rPr>
            <a:t>                            </a:t>
          </a:r>
          <a:r>
            <a:rPr lang="en-IN" sz="2000">
              <a:solidFill>
                <a:schemeClr val="tx1"/>
              </a:solidFill>
              <a:latin typeface="Algerian" panose="04020705040A02060702" pitchFamily="82" charset="0"/>
            </a:rPr>
            <a:t>MART SALES</a:t>
          </a:r>
          <a:r>
            <a:rPr lang="en-IN" sz="2000" baseline="0">
              <a:solidFill>
                <a:schemeClr val="tx1"/>
              </a:solidFill>
              <a:latin typeface="Algerian" panose="04020705040A02060702" pitchFamily="82" charset="0"/>
            </a:rPr>
            <a:t> DASHBOARD (2024-2025)</a:t>
          </a:r>
          <a:endParaRPr lang="en-IN" sz="2000">
            <a:solidFill>
              <a:schemeClr val="tx1"/>
            </a:solidFill>
            <a:latin typeface="Algerian" panose="04020705040A02060702" pitchFamily="82" charset="0"/>
          </a:endParaRPr>
        </a:p>
      </xdr:txBody>
    </xdr:sp>
    <xdr:clientData/>
  </xdr:twoCellAnchor>
  <xdr:twoCellAnchor editAs="oneCell">
    <xdr:from>
      <xdr:col>0</xdr:col>
      <xdr:colOff>0</xdr:colOff>
      <xdr:row>4</xdr:row>
      <xdr:rowOff>0</xdr:rowOff>
    </xdr:from>
    <xdr:to>
      <xdr:col>1</xdr:col>
      <xdr:colOff>601980</xdr:colOff>
      <xdr:row>11</xdr:row>
      <xdr:rowOff>175260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CFAED450-048C-47F1-A15E-795E506FA65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731520"/>
              <a:ext cx="12115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12</xdr:row>
      <xdr:rowOff>38100</xdr:rowOff>
    </xdr:from>
    <xdr:to>
      <xdr:col>1</xdr:col>
      <xdr:colOff>586740</xdr:colOff>
      <xdr:row>24</xdr:row>
      <xdr:rowOff>144780</xdr:rowOff>
    </xdr:to>
    <xdr:sp macro="" textlink="">
      <xdr:nvSpPr>
        <xdr:cNvPr id="7" name="Rectangle 6">
          <a:extLst>
            <a:ext uri="{FF2B5EF4-FFF2-40B4-BE49-F238E27FC236}">
              <a16:creationId xmlns:a16="http://schemas.microsoft.com/office/drawing/2014/main" id="{E2B8E349-F8EF-D252-3117-53F42736F5C6}"/>
            </a:ext>
          </a:extLst>
        </xdr:cNvPr>
        <xdr:cNvSpPr/>
      </xdr:nvSpPr>
      <xdr:spPr>
        <a:xfrm>
          <a:off x="76200" y="2232660"/>
          <a:ext cx="1120140" cy="2301240"/>
        </a:xfrm>
        <a:prstGeom prst="rect">
          <a:avLst/>
        </a:prstGeom>
        <a:ln>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243840</xdr:colOff>
      <xdr:row>13</xdr:row>
      <xdr:rowOff>0</xdr:rowOff>
    </xdr:from>
    <xdr:to>
      <xdr:col>1</xdr:col>
      <xdr:colOff>373380</xdr:colOff>
      <xdr:row>17</xdr:row>
      <xdr:rowOff>7620</xdr:rowOff>
    </xdr:to>
    <xdr:pic>
      <xdr:nvPicPr>
        <xdr:cNvPr id="13" name="Picture 12">
          <a:hlinkClick xmlns:r="http://schemas.openxmlformats.org/officeDocument/2006/relationships" r:id="rId2"/>
          <a:extLst>
            <a:ext uri="{FF2B5EF4-FFF2-40B4-BE49-F238E27FC236}">
              <a16:creationId xmlns:a16="http://schemas.microsoft.com/office/drawing/2014/main" id="{3F1FA70C-211F-7965-72DE-A6B9E804A28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3840" y="2377440"/>
          <a:ext cx="739140" cy="739140"/>
        </a:xfrm>
        <a:prstGeom prst="rect">
          <a:avLst/>
        </a:prstGeom>
      </xdr:spPr>
    </xdr:pic>
    <xdr:clientData/>
  </xdr:twoCellAnchor>
  <xdr:twoCellAnchor editAs="oneCell">
    <xdr:from>
      <xdr:col>0</xdr:col>
      <xdr:colOff>0</xdr:colOff>
      <xdr:row>17</xdr:row>
      <xdr:rowOff>83820</xdr:rowOff>
    </xdr:from>
    <xdr:to>
      <xdr:col>2</xdr:col>
      <xdr:colOff>14077</xdr:colOff>
      <xdr:row>24</xdr:row>
      <xdr:rowOff>30480</xdr:rowOff>
    </xdr:to>
    <xdr:pic>
      <xdr:nvPicPr>
        <xdr:cNvPr id="15" name="Picture 14">
          <a:hlinkClick xmlns:r="http://schemas.openxmlformats.org/officeDocument/2006/relationships" r:id="rId4"/>
          <a:extLst>
            <a:ext uri="{FF2B5EF4-FFF2-40B4-BE49-F238E27FC236}">
              <a16:creationId xmlns:a16="http://schemas.microsoft.com/office/drawing/2014/main" id="{08EE2CE8-8005-16E2-E373-601CE5EE66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3192780"/>
          <a:ext cx="1233277" cy="1226820"/>
        </a:xfrm>
        <a:prstGeom prst="rect">
          <a:avLst/>
        </a:prstGeom>
      </xdr:spPr>
    </xdr:pic>
    <xdr:clientData/>
  </xdr:twoCellAnchor>
  <xdr:twoCellAnchor>
    <xdr:from>
      <xdr:col>2</xdr:col>
      <xdr:colOff>38100</xdr:colOff>
      <xdr:row>4</xdr:row>
      <xdr:rowOff>15240</xdr:rowOff>
    </xdr:from>
    <xdr:to>
      <xdr:col>7</xdr:col>
      <xdr:colOff>68580</xdr:colOff>
      <xdr:row>10</xdr:row>
      <xdr:rowOff>15240</xdr:rowOff>
    </xdr:to>
    <xdr:sp macro="" textlink="">
      <xdr:nvSpPr>
        <xdr:cNvPr id="16" name="Rectangle 15">
          <a:extLst>
            <a:ext uri="{FF2B5EF4-FFF2-40B4-BE49-F238E27FC236}">
              <a16:creationId xmlns:a16="http://schemas.microsoft.com/office/drawing/2014/main" id="{401F7DE4-8CE9-2FDA-E185-B7AD6CF0A9FD}"/>
            </a:ext>
          </a:extLst>
        </xdr:cNvPr>
        <xdr:cNvSpPr/>
      </xdr:nvSpPr>
      <xdr:spPr>
        <a:xfrm>
          <a:off x="1257300" y="746760"/>
          <a:ext cx="3078480" cy="1097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TOTAL SALES</a:t>
          </a:r>
        </a:p>
        <a:p>
          <a:pPr algn="l"/>
          <a:r>
            <a:rPr lang="en-IN" sz="1800" b="1">
              <a:latin typeface="Times New Roman" panose="02020603050405020304" pitchFamily="18" charset="0"/>
              <a:cs typeface="Times New Roman" panose="02020603050405020304" pitchFamily="18" charset="0"/>
            </a:rPr>
            <a:t> </a:t>
          </a:r>
        </a:p>
      </xdr:txBody>
    </xdr:sp>
    <xdr:clientData/>
  </xdr:twoCellAnchor>
  <xdr:twoCellAnchor>
    <xdr:from>
      <xdr:col>7</xdr:col>
      <xdr:colOff>190500</xdr:colOff>
      <xdr:row>3</xdr:row>
      <xdr:rowOff>175260</xdr:rowOff>
    </xdr:from>
    <xdr:to>
      <xdr:col>12</xdr:col>
      <xdr:colOff>434340</xdr:colOff>
      <xdr:row>10</xdr:row>
      <xdr:rowOff>0</xdr:rowOff>
    </xdr:to>
    <xdr:sp macro="" textlink="">
      <xdr:nvSpPr>
        <xdr:cNvPr id="17" name="Rectangle 16">
          <a:extLst>
            <a:ext uri="{FF2B5EF4-FFF2-40B4-BE49-F238E27FC236}">
              <a16:creationId xmlns:a16="http://schemas.microsoft.com/office/drawing/2014/main" id="{D03E3DD7-6FC9-CA30-99D1-F9B2D59FA5ED}"/>
            </a:ext>
          </a:extLst>
        </xdr:cNvPr>
        <xdr:cNvSpPr/>
      </xdr:nvSpPr>
      <xdr:spPr>
        <a:xfrm>
          <a:off x="4457700" y="723900"/>
          <a:ext cx="3291840" cy="1104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TOTAL PURCHASE </a:t>
          </a:r>
        </a:p>
      </xdr:txBody>
    </xdr:sp>
    <xdr:clientData/>
  </xdr:twoCellAnchor>
  <xdr:twoCellAnchor>
    <xdr:from>
      <xdr:col>12</xdr:col>
      <xdr:colOff>594360</xdr:colOff>
      <xdr:row>3</xdr:row>
      <xdr:rowOff>160020</xdr:rowOff>
    </xdr:from>
    <xdr:to>
      <xdr:col>18</xdr:col>
      <xdr:colOff>0</xdr:colOff>
      <xdr:row>10</xdr:row>
      <xdr:rowOff>7620</xdr:rowOff>
    </xdr:to>
    <xdr:sp macro="" textlink="">
      <xdr:nvSpPr>
        <xdr:cNvPr id="18" name="Rectangle 17">
          <a:extLst>
            <a:ext uri="{FF2B5EF4-FFF2-40B4-BE49-F238E27FC236}">
              <a16:creationId xmlns:a16="http://schemas.microsoft.com/office/drawing/2014/main" id="{61E8105D-78E6-9A6E-BE67-1602F021CD74}"/>
            </a:ext>
          </a:extLst>
        </xdr:cNvPr>
        <xdr:cNvSpPr/>
      </xdr:nvSpPr>
      <xdr:spPr>
        <a:xfrm>
          <a:off x="7909560" y="708660"/>
          <a:ext cx="3063240" cy="1127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dk1"/>
              </a:solidFill>
              <a:latin typeface="Times New Roman" panose="02020603050405020304" pitchFamily="18" charset="0"/>
              <a:ea typeface="+mn-ea"/>
              <a:cs typeface="Times New Roman" panose="02020603050405020304" pitchFamily="18" charset="0"/>
            </a:rPr>
            <a:t>TOTAL</a:t>
          </a:r>
          <a:r>
            <a:rPr lang="en-IN" sz="1100"/>
            <a:t> </a:t>
          </a:r>
          <a:r>
            <a:rPr lang="en-IN" sz="1800" b="1">
              <a:solidFill>
                <a:schemeClr val="dk1"/>
              </a:solidFill>
              <a:latin typeface="Times New Roman" panose="02020603050405020304" pitchFamily="18" charset="0"/>
              <a:ea typeface="+mn-ea"/>
              <a:cs typeface="Times New Roman" panose="02020603050405020304" pitchFamily="18" charset="0"/>
            </a:rPr>
            <a:t>PROFIT</a:t>
          </a:r>
        </a:p>
      </xdr:txBody>
    </xdr:sp>
    <xdr:clientData/>
  </xdr:twoCellAnchor>
  <xdr:twoCellAnchor>
    <xdr:from>
      <xdr:col>2</xdr:col>
      <xdr:colOff>403860</xdr:colOff>
      <xdr:row>2</xdr:row>
      <xdr:rowOff>167640</xdr:rowOff>
    </xdr:from>
    <xdr:to>
      <xdr:col>7</xdr:col>
      <xdr:colOff>160020</xdr:colOff>
      <xdr:row>9</xdr:row>
      <xdr:rowOff>83820</xdr:rowOff>
    </xdr:to>
    <xdr:graphicFrame macro="">
      <xdr:nvGraphicFramePr>
        <xdr:cNvPr id="22" name="Chart 21">
          <a:extLst>
            <a:ext uri="{FF2B5EF4-FFF2-40B4-BE49-F238E27FC236}">
              <a16:creationId xmlns:a16="http://schemas.microsoft.com/office/drawing/2014/main" id="{A398CD0C-E6AB-4C7B-8981-9ACBCE72A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106680</xdr:colOff>
      <xdr:row>6</xdr:row>
      <xdr:rowOff>175260</xdr:rowOff>
    </xdr:from>
    <xdr:to>
      <xdr:col>4</xdr:col>
      <xdr:colOff>259080</xdr:colOff>
      <xdr:row>8</xdr:row>
      <xdr:rowOff>160020</xdr:rowOff>
    </xdr:to>
    <xdr:sp macro="" textlink="KPI!$B$10">
      <xdr:nvSpPr>
        <xdr:cNvPr id="39" name="TextBox 38">
          <a:extLst>
            <a:ext uri="{FF2B5EF4-FFF2-40B4-BE49-F238E27FC236}">
              <a16:creationId xmlns:a16="http://schemas.microsoft.com/office/drawing/2014/main" id="{17479F3C-EE9C-4D97-B288-8DC0C8F2C1E9}"/>
            </a:ext>
          </a:extLst>
        </xdr:cNvPr>
        <xdr:cNvSpPr txBox="1"/>
      </xdr:nvSpPr>
      <xdr:spPr>
        <a:xfrm>
          <a:off x="1325880" y="1272540"/>
          <a:ext cx="1371600" cy="3505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70018C-F9EA-4B74-AA52-1E904CDE0E17}" type="TxLink">
            <a:rPr lang="en-US" sz="1100" b="1" i="0" u="none" strike="noStrike">
              <a:solidFill>
                <a:srgbClr val="000000"/>
              </a:solidFill>
              <a:latin typeface="Bodoni MT Black" panose="02070A03080606020203" pitchFamily="18" charset="0"/>
              <a:ea typeface="Calibri"/>
              <a:cs typeface="Calibri"/>
            </a:rPr>
            <a:t>21320893.73</a:t>
          </a:fld>
          <a:endParaRPr lang="en-IN" sz="1100" b="1">
            <a:latin typeface="Bodoni MT Black" panose="02070A03080606020203" pitchFamily="18" charset="0"/>
          </a:endParaRPr>
        </a:p>
      </xdr:txBody>
    </xdr:sp>
    <xdr:clientData/>
  </xdr:twoCellAnchor>
  <xdr:twoCellAnchor>
    <xdr:from>
      <xdr:col>7</xdr:col>
      <xdr:colOff>297180</xdr:colOff>
      <xdr:row>6</xdr:row>
      <xdr:rowOff>99060</xdr:rowOff>
    </xdr:from>
    <xdr:to>
      <xdr:col>9</xdr:col>
      <xdr:colOff>464820</xdr:colOff>
      <xdr:row>8</xdr:row>
      <xdr:rowOff>60960</xdr:rowOff>
    </xdr:to>
    <xdr:sp macro="" textlink="KPI!$E$11">
      <xdr:nvSpPr>
        <xdr:cNvPr id="40" name="TextBox 39">
          <a:extLst>
            <a:ext uri="{FF2B5EF4-FFF2-40B4-BE49-F238E27FC236}">
              <a16:creationId xmlns:a16="http://schemas.microsoft.com/office/drawing/2014/main" id="{2E0A5857-0BAD-48AF-A99F-AB7549457957}"/>
            </a:ext>
          </a:extLst>
        </xdr:cNvPr>
        <xdr:cNvSpPr txBox="1"/>
      </xdr:nvSpPr>
      <xdr:spPr>
        <a:xfrm>
          <a:off x="4564380" y="1196340"/>
          <a:ext cx="1386840" cy="32766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E3B8F4-F03A-4766-90A8-37B3F04973F0}" type="TxLink">
            <a:rPr lang="en-US" sz="1400" b="1" i="0" u="none" strike="noStrike">
              <a:solidFill>
                <a:srgbClr val="000000"/>
              </a:solidFill>
              <a:latin typeface="Bodoni MT" panose="02070603080606020203" pitchFamily="18" charset="0"/>
              <a:ea typeface="Calibri"/>
              <a:cs typeface="Calibri"/>
            </a:rPr>
            <a:t>16361431.26</a:t>
          </a:fld>
          <a:endParaRPr lang="en-IN" sz="1400" b="1">
            <a:latin typeface="Bodoni MT" panose="02070603080606020203" pitchFamily="18" charset="0"/>
          </a:endParaRPr>
        </a:p>
      </xdr:txBody>
    </xdr:sp>
    <xdr:clientData/>
  </xdr:twoCellAnchor>
  <xdr:twoCellAnchor>
    <xdr:from>
      <xdr:col>13</xdr:col>
      <xdr:colOff>114300</xdr:colOff>
      <xdr:row>6</xdr:row>
      <xdr:rowOff>15240</xdr:rowOff>
    </xdr:from>
    <xdr:to>
      <xdr:col>15</xdr:col>
      <xdr:colOff>45720</xdr:colOff>
      <xdr:row>8</xdr:row>
      <xdr:rowOff>0</xdr:rowOff>
    </xdr:to>
    <xdr:sp macro="" textlink="KPI!$J$11">
      <xdr:nvSpPr>
        <xdr:cNvPr id="41" name="TextBox 40">
          <a:extLst>
            <a:ext uri="{FF2B5EF4-FFF2-40B4-BE49-F238E27FC236}">
              <a16:creationId xmlns:a16="http://schemas.microsoft.com/office/drawing/2014/main" id="{7C22E423-DA34-4316-A0F2-E5B5B0E39FC5}"/>
            </a:ext>
          </a:extLst>
        </xdr:cNvPr>
        <xdr:cNvSpPr txBox="1"/>
      </xdr:nvSpPr>
      <xdr:spPr>
        <a:xfrm>
          <a:off x="8039100" y="1112520"/>
          <a:ext cx="1150620" cy="3505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4A4032-58A1-456D-8A23-7D28D1A9285F}" type="TxLink">
            <a:rPr lang="en-US" sz="1400" b="1" i="0" u="none" strike="noStrike">
              <a:solidFill>
                <a:srgbClr val="000000"/>
              </a:solidFill>
              <a:latin typeface="Bodoni MT" panose="02070603080606020203" pitchFamily="18" charset="0"/>
              <a:ea typeface="Calibri"/>
              <a:cs typeface="Calibri"/>
            </a:rPr>
            <a:pPr marL="0" indent="0"/>
            <a:t>4959462.47</a:t>
          </a:fld>
          <a:endParaRPr lang="en-IN" sz="1400" b="1" i="0" u="none" strike="noStrike">
            <a:solidFill>
              <a:srgbClr val="000000"/>
            </a:solidFill>
            <a:latin typeface="Bodoni MT" panose="02070603080606020203" pitchFamily="18" charset="0"/>
            <a:ea typeface="Calibri"/>
            <a:cs typeface="Calibri"/>
          </a:endParaRPr>
        </a:p>
      </xdr:txBody>
    </xdr:sp>
    <xdr:clientData/>
  </xdr:twoCellAnchor>
  <xdr:twoCellAnchor>
    <xdr:from>
      <xdr:col>9</xdr:col>
      <xdr:colOff>594360</xdr:colOff>
      <xdr:row>3</xdr:row>
      <xdr:rowOff>106680</xdr:rowOff>
    </xdr:from>
    <xdr:to>
      <xdr:col>13</xdr:col>
      <xdr:colOff>205740</xdr:colOff>
      <xdr:row>10</xdr:row>
      <xdr:rowOff>106680</xdr:rowOff>
    </xdr:to>
    <xdr:graphicFrame macro="">
      <xdr:nvGraphicFramePr>
        <xdr:cNvPr id="42" name="Chart 41">
          <a:extLst>
            <a:ext uri="{FF2B5EF4-FFF2-40B4-BE49-F238E27FC236}">
              <a16:creationId xmlns:a16="http://schemas.microsoft.com/office/drawing/2014/main" id="{542A90C6-F734-4CC5-8D4E-1ADD2CF19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83820</xdr:colOff>
      <xdr:row>3</xdr:row>
      <xdr:rowOff>76200</xdr:rowOff>
    </xdr:from>
    <xdr:to>
      <xdr:col>17</xdr:col>
      <xdr:colOff>525780</xdr:colOff>
      <xdr:row>10</xdr:row>
      <xdr:rowOff>7620</xdr:rowOff>
    </xdr:to>
    <xdr:graphicFrame macro="">
      <xdr:nvGraphicFramePr>
        <xdr:cNvPr id="43" name="Chart 42">
          <a:extLst>
            <a:ext uri="{FF2B5EF4-FFF2-40B4-BE49-F238E27FC236}">
              <a16:creationId xmlns:a16="http://schemas.microsoft.com/office/drawing/2014/main" id="{C2B9B0E2-31E9-420B-9415-8E04A9A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11</xdr:row>
      <xdr:rowOff>15240</xdr:rowOff>
    </xdr:from>
    <xdr:to>
      <xdr:col>7</xdr:col>
      <xdr:colOff>601980</xdr:colOff>
      <xdr:row>24</xdr:row>
      <xdr:rowOff>175260</xdr:rowOff>
    </xdr:to>
    <xdr:graphicFrame macro="">
      <xdr:nvGraphicFramePr>
        <xdr:cNvPr id="44" name="Chart 43">
          <a:extLst>
            <a:ext uri="{FF2B5EF4-FFF2-40B4-BE49-F238E27FC236}">
              <a16:creationId xmlns:a16="http://schemas.microsoft.com/office/drawing/2014/main" id="{61428ED8-F0C5-46A2-9E8B-A6D058708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14</xdr:row>
      <xdr:rowOff>91440</xdr:rowOff>
    </xdr:from>
    <xdr:to>
      <xdr:col>18</xdr:col>
      <xdr:colOff>22860</xdr:colOff>
      <xdr:row>24</xdr:row>
      <xdr:rowOff>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5BBE92EE-E558-41C6-BC6A-2EA8079E4E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876800" y="2651760"/>
              <a:ext cx="611886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594360</xdr:colOff>
      <xdr:row>9</xdr:row>
      <xdr:rowOff>68580</xdr:rowOff>
    </xdr:from>
    <xdr:to>
      <xdr:col>17</xdr:col>
      <xdr:colOff>243840</xdr:colOff>
      <xdr:row>15</xdr:row>
      <xdr:rowOff>68580</xdr:rowOff>
    </xdr:to>
    <xdr:graphicFrame macro="">
      <xdr:nvGraphicFramePr>
        <xdr:cNvPr id="46" name="Chart 45">
          <a:extLst>
            <a:ext uri="{FF2B5EF4-FFF2-40B4-BE49-F238E27FC236}">
              <a16:creationId xmlns:a16="http://schemas.microsoft.com/office/drawing/2014/main" id="{F7F1086E-D91F-4994-8FEE-A2D7BD17C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54094</xdr:colOff>
      <xdr:row>0</xdr:row>
      <xdr:rowOff>25121</xdr:rowOff>
    </xdr:from>
    <xdr:to>
      <xdr:col>23</xdr:col>
      <xdr:colOff>58615</xdr:colOff>
      <xdr:row>25</xdr:row>
      <xdr:rowOff>100483</xdr:rowOff>
    </xdr:to>
    <xdr:sp macro="" textlink="">
      <xdr:nvSpPr>
        <xdr:cNvPr id="47" name="Rectangle 46">
          <a:extLst>
            <a:ext uri="{FF2B5EF4-FFF2-40B4-BE49-F238E27FC236}">
              <a16:creationId xmlns:a16="http://schemas.microsoft.com/office/drawing/2014/main" id="{3B0E9E00-7DF8-AFF4-B519-479E89D9560F}"/>
            </a:ext>
          </a:extLst>
        </xdr:cNvPr>
        <xdr:cNvSpPr/>
      </xdr:nvSpPr>
      <xdr:spPr>
        <a:xfrm>
          <a:off x="11057039" y="25121"/>
          <a:ext cx="3060895" cy="4680857"/>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700" b="1">
              <a:latin typeface="Times New Roman" panose="02020603050405020304" pitchFamily="18" charset="0"/>
              <a:cs typeface="Times New Roman" panose="02020603050405020304" pitchFamily="18" charset="0"/>
            </a:rPr>
            <a:t>STATEWISE</a:t>
          </a:r>
          <a:r>
            <a:rPr lang="en-IN" sz="1700" b="1" baseline="0">
              <a:latin typeface="Times New Roman" panose="02020603050405020304" pitchFamily="18" charset="0"/>
              <a:cs typeface="Times New Roman" panose="02020603050405020304" pitchFamily="18" charset="0"/>
            </a:rPr>
            <a:t> SALES REPORT</a:t>
          </a:r>
          <a:endParaRPr lang="en-IN" sz="1700" b="1">
            <a:latin typeface="Times New Roman" panose="02020603050405020304" pitchFamily="18" charset="0"/>
            <a:cs typeface="Times New Roman" panose="02020603050405020304" pitchFamily="18" charset="0"/>
          </a:endParaRPr>
        </a:p>
      </xdr:txBody>
    </xdr:sp>
    <xdr:clientData/>
  </xdr:twoCellAnchor>
  <xdr:twoCellAnchor>
    <xdr:from>
      <xdr:col>18</xdr:col>
      <xdr:colOff>106680</xdr:colOff>
      <xdr:row>3</xdr:row>
      <xdr:rowOff>152400</xdr:rowOff>
    </xdr:from>
    <xdr:to>
      <xdr:col>22</xdr:col>
      <xdr:colOff>535912</xdr:colOff>
      <xdr:row>22</xdr:row>
      <xdr:rowOff>117231</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EF87D5C9-17CE-41FB-8F15-8C6509376E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109625" y="705059"/>
              <a:ext cx="2874331" cy="34650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AArush" refreshedDate="46102.525155439813" createdVersion="8" refreshedVersion="8" minRefreshableVersion="3" recordCount="1200" xr:uid="{548F09CB-D198-4C74-8A84-2A8A1918C307}">
  <cacheSource type="worksheet">
    <worksheetSource name="Table1"/>
  </cacheSource>
  <cacheFields count="14">
    <cacheField name="Date" numFmtId="166">
      <sharedItems containsSemiMixedTypes="0" containsNonDate="0" containsDate="1" containsString="0" minDate="2024-01-01T00:00:00" maxDate="2025-01-01T00:00:00" count="351">
        <d v="2024-10-09T00:00:00"/>
        <d v="2024-01-09T00:00:00"/>
        <d v="2024-01-17T00:00:00"/>
        <d v="2024-11-15T00:00:00"/>
        <d v="2024-07-06T00:00:00"/>
        <d v="2024-11-19T00:00:00"/>
        <d v="2024-11-17T00:00:00"/>
        <d v="2024-06-30T00:00:00"/>
        <d v="2024-06-06T00:00:00"/>
        <d v="2024-09-17T00:00:00"/>
        <d v="2024-08-02T00:00:00"/>
        <d v="2024-04-22T00:00:00"/>
        <d v="2024-12-08T00:00:00"/>
        <d v="2024-06-02T00:00:00"/>
        <d v="2024-05-21T00:00:00"/>
        <d v="2024-04-26T00:00:00"/>
        <d v="2024-04-19T00:00:00"/>
        <d v="2024-05-02T00:00:00"/>
        <d v="2024-02-24T00:00:00"/>
        <d v="2024-11-13T00:00:00"/>
        <d v="2024-02-20T00:00:00"/>
        <d v="2024-03-11T00:00:00"/>
        <d v="2024-05-12T00:00:00"/>
        <d v="2024-11-10T00:00:00"/>
        <d v="2024-02-11T00:00:00"/>
        <d v="2024-03-31T00:00:00"/>
        <d v="2024-07-10T00:00:00"/>
        <d v="2024-11-09T00:00:00"/>
        <d v="2024-08-28T00:00:00"/>
        <d v="2024-05-23T00:00:00"/>
        <d v="2024-08-10T00:00:00"/>
        <d v="2024-07-15T00:00:00"/>
        <d v="2024-11-20T00:00:00"/>
        <d v="2024-04-23T00:00:00"/>
        <d v="2024-07-20T00:00:00"/>
        <d v="2024-12-23T00:00:00"/>
        <d v="2024-01-05T00:00:00"/>
        <d v="2024-04-07T00:00:00"/>
        <d v="2024-12-21T00:00:00"/>
        <d v="2024-09-10T00:00:00"/>
        <d v="2024-12-15T00:00:00"/>
        <d v="2024-11-04T00:00:00"/>
        <d v="2024-01-29T00:00:00"/>
        <d v="2024-08-18T00:00:00"/>
        <d v="2024-01-26T00:00:00"/>
        <d v="2024-10-02T00:00:00"/>
        <d v="2024-11-29T00:00:00"/>
        <d v="2024-12-19T00:00:00"/>
        <d v="2024-08-11T00:00:00"/>
        <d v="2024-11-03T00:00:00"/>
        <d v="2024-03-29T00:00:00"/>
        <d v="2024-12-02T00:00:00"/>
        <d v="2024-02-16T00:00:00"/>
        <d v="2024-03-08T00:00:00"/>
        <d v="2024-08-14T00:00:00"/>
        <d v="2024-06-23T00:00:00"/>
        <d v="2024-03-18T00:00:00"/>
        <d v="2024-06-15T00:00:00"/>
        <d v="2024-05-27T00:00:00"/>
        <d v="2024-10-07T00:00:00"/>
        <d v="2024-01-04T00:00:00"/>
        <d v="2024-10-14T00:00:00"/>
        <d v="2024-12-06T00:00:00"/>
        <d v="2024-04-04T00:00:00"/>
        <d v="2024-05-24T00:00:00"/>
        <d v="2024-07-11T00:00:00"/>
        <d v="2024-09-11T00:00:00"/>
        <d v="2024-11-30T00:00:00"/>
        <d v="2024-05-30T00:00:00"/>
        <d v="2024-01-15T00:00:00"/>
        <d v="2024-09-26T00:00:00"/>
        <d v="2024-11-16T00:00:00"/>
        <d v="2024-10-19T00:00:00"/>
        <d v="2024-10-11T00:00:00"/>
        <d v="2024-10-03T00:00:00"/>
        <d v="2024-09-12T00:00:00"/>
        <d v="2024-09-02T00:00:00"/>
        <d v="2024-11-26T00:00:00"/>
        <d v="2024-01-06T00:00:00"/>
        <d v="2024-04-25T00:00:00"/>
        <d v="2024-05-10T00:00:00"/>
        <d v="2024-02-03T00:00:00"/>
        <d v="2024-03-19T00:00:00"/>
        <d v="2024-06-10T00:00:00"/>
        <d v="2024-11-21T00:00:00"/>
        <d v="2024-10-06T00:00:00"/>
        <d v="2024-01-18T00:00:00"/>
        <d v="2024-12-01T00:00:00"/>
        <d v="2024-06-24T00:00:00"/>
        <d v="2024-04-12T00:00:00"/>
        <d v="2024-12-17T00:00:00"/>
        <d v="2024-10-27T00:00:00"/>
        <d v="2024-07-12T00:00:00"/>
        <d v="2024-04-16T00:00:00"/>
        <d v="2024-08-17T00:00:00"/>
        <d v="2024-03-26T00:00:00"/>
        <d v="2024-10-28T00:00:00"/>
        <d v="2024-05-09T00:00:00"/>
        <d v="2024-03-21T00:00:00"/>
        <d v="2024-08-13T00:00:00"/>
        <d v="2024-10-08T00:00:00"/>
        <d v="2024-01-20T00:00:00"/>
        <d v="2024-01-27T00:00:00"/>
        <d v="2024-02-18T00:00:00"/>
        <d v="2024-08-23T00:00:00"/>
        <d v="2024-11-14T00:00:00"/>
        <d v="2024-10-30T00:00:00"/>
        <d v="2024-03-20T00:00:00"/>
        <d v="2024-05-25T00:00:00"/>
        <d v="2024-03-07T00:00:00"/>
        <d v="2024-06-18T00:00:00"/>
        <d v="2024-07-16T00:00:00"/>
        <d v="2024-06-20T00:00:00"/>
        <d v="2024-10-26T00:00:00"/>
        <d v="2024-12-31T00:00:00"/>
        <d v="2024-06-19T00:00:00"/>
        <d v="2024-05-20T00:00:00"/>
        <d v="2024-12-29T00:00:00"/>
        <d v="2024-04-06T00:00:00"/>
        <d v="2024-05-06T00:00:00"/>
        <d v="2024-08-03T00:00:00"/>
        <d v="2024-08-25T00:00:00"/>
        <d v="2024-12-10T00:00:00"/>
        <d v="2024-10-24T00:00:00"/>
        <d v="2024-10-29T00:00:00"/>
        <d v="2024-05-15T00:00:00"/>
        <d v="2024-09-06T00:00:00"/>
        <d v="2024-03-23T00:00:00"/>
        <d v="2024-07-28T00:00:00"/>
        <d v="2024-04-28T00:00:00"/>
        <d v="2024-03-24T00:00:00"/>
        <d v="2024-04-08T00:00:00"/>
        <d v="2024-11-27T00:00:00"/>
        <d v="2024-05-14T00:00:00"/>
        <d v="2024-09-13T00:00:00"/>
        <d v="2024-05-01T00:00:00"/>
        <d v="2024-11-22T00:00:00"/>
        <d v="2024-09-23T00:00:00"/>
        <d v="2024-04-27T00:00:00"/>
        <d v="2024-12-16T00:00:00"/>
        <d v="2024-09-20T00:00:00"/>
        <d v="2024-02-23T00:00:00"/>
        <d v="2024-10-31T00:00:00"/>
        <d v="2024-06-22T00:00:00"/>
        <d v="2024-12-14T00:00:00"/>
        <d v="2024-08-07T00:00:00"/>
        <d v="2024-10-05T00:00:00"/>
        <d v="2024-08-01T00:00:00"/>
        <d v="2024-04-09T00:00:00"/>
        <d v="2024-07-24T00:00:00"/>
        <d v="2024-08-27T00:00:00"/>
        <d v="2024-10-16T00:00:00"/>
        <d v="2024-03-12T00:00:00"/>
        <d v="2024-02-21T00:00:00"/>
        <d v="2024-11-24T00:00:00"/>
        <d v="2024-02-04T00:00:00"/>
        <d v="2024-05-22T00:00:00"/>
        <d v="2024-12-25T00:00:00"/>
        <d v="2024-01-12T00:00:00"/>
        <d v="2024-08-19T00:00:00"/>
        <d v="2024-07-08T00:00:00"/>
        <d v="2024-07-17T00:00:00"/>
        <d v="2024-09-16T00:00:00"/>
        <d v="2024-03-22T00:00:00"/>
        <d v="2024-08-16T00:00:00"/>
        <d v="2024-11-11T00:00:00"/>
        <d v="2024-06-01T00:00:00"/>
        <d v="2024-09-03T00:00:00"/>
        <d v="2024-12-27T00:00:00"/>
        <d v="2024-09-01T00:00:00"/>
        <d v="2024-04-18T00:00:00"/>
        <d v="2024-04-17T00:00:00"/>
        <d v="2024-06-12T00:00:00"/>
        <d v="2024-08-29T00:00:00"/>
        <d v="2024-12-05T00:00:00"/>
        <d v="2024-11-23T00:00:00"/>
        <d v="2024-07-29T00:00:00"/>
        <d v="2024-06-03T00:00:00"/>
        <d v="2024-09-18T00:00:00"/>
        <d v="2024-05-07T00:00:00"/>
        <d v="2024-06-04T00:00:00"/>
        <d v="2024-08-12T00:00:00"/>
        <d v="2024-11-25T00:00:00"/>
        <d v="2024-11-28T00:00:00"/>
        <d v="2024-04-13T00:00:00"/>
        <d v="2024-11-08T00:00:00"/>
        <d v="2024-04-14T00:00:00"/>
        <d v="2024-05-11T00:00:00"/>
        <d v="2024-06-07T00:00:00"/>
        <d v="2024-05-04T00:00:00"/>
        <d v="2024-01-14T00:00:00"/>
        <d v="2024-03-04T00:00:00"/>
        <d v="2024-08-22T00:00:00"/>
        <d v="2024-03-02T00:00:00"/>
        <d v="2024-12-11T00:00:00"/>
        <d v="2024-06-05T00:00:00"/>
        <d v="2024-06-09T00:00:00"/>
        <d v="2024-02-12T00:00:00"/>
        <d v="2024-01-24T00:00:00"/>
        <d v="2024-12-18T00:00:00"/>
        <d v="2024-08-08T00:00:00"/>
        <d v="2024-01-03T00:00:00"/>
        <d v="2024-07-02T00:00:00"/>
        <d v="2024-07-13T00:00:00"/>
        <d v="2024-01-13T00:00:00"/>
        <d v="2024-04-05T00:00:00"/>
        <d v="2024-08-21T00:00:00"/>
        <d v="2024-07-22T00:00:00"/>
        <d v="2024-05-16T00:00:00"/>
        <d v="2024-09-15T00:00:00"/>
        <d v="2024-09-07T00:00:00"/>
        <d v="2024-07-27T00:00:00"/>
        <d v="2024-03-13T00:00:00"/>
        <d v="2024-05-03T00:00:00"/>
        <d v="2024-01-08T00:00:00"/>
        <d v="2024-10-21T00:00:00"/>
        <d v="2024-07-18T00:00:00"/>
        <d v="2024-09-25T00:00:00"/>
        <d v="2024-02-06T00:00:00"/>
        <d v="2024-03-28T00:00:00"/>
        <d v="2024-12-09T00:00:00"/>
        <d v="2024-12-22T00:00:00"/>
        <d v="2024-01-02T00:00:00"/>
        <d v="2024-03-30T00:00:00"/>
        <d v="2024-03-16T00:00:00"/>
        <d v="2024-06-08T00:00:00"/>
        <d v="2024-04-11T00:00:00"/>
        <d v="2024-04-10T00:00:00"/>
        <d v="2024-03-15T00:00:00"/>
        <d v="2024-12-04T00:00:00"/>
        <d v="2024-02-28T00:00:00"/>
        <d v="2024-05-18T00:00:00"/>
        <d v="2024-12-13T00:00:00"/>
        <d v="2024-05-05T00:00:00"/>
        <d v="2024-11-01T00:00:00"/>
        <d v="2024-01-31T00:00:00"/>
        <d v="2024-07-19T00:00:00"/>
        <d v="2024-10-15T00:00:00"/>
        <d v="2024-02-10T00:00:00"/>
        <d v="2024-09-24T00:00:00"/>
        <d v="2024-07-30T00:00:00"/>
        <d v="2024-02-05T00:00:00"/>
        <d v="2024-11-02T00:00:00"/>
        <d v="2024-01-30T00:00:00"/>
        <d v="2024-02-09T00:00:00"/>
        <d v="2024-09-08T00:00:00"/>
        <d v="2024-01-16T00:00:00"/>
        <d v="2024-05-31T00:00:00"/>
        <d v="2024-05-13T00:00:00"/>
        <d v="2024-05-28T00:00:00"/>
        <d v="2024-07-26T00:00:00"/>
        <d v="2024-10-23T00:00:00"/>
        <d v="2024-02-17T00:00:00"/>
        <d v="2024-02-01T00:00:00"/>
        <d v="2024-03-09T00:00:00"/>
        <d v="2024-01-23T00:00:00"/>
        <d v="2024-05-08T00:00:00"/>
        <d v="2024-11-12T00:00:00"/>
        <d v="2024-07-21T00:00:00"/>
        <d v="2024-04-24T00:00:00"/>
        <d v="2024-09-05T00:00:00"/>
        <d v="2024-11-06T00:00:00"/>
        <d v="2024-08-05T00:00:00"/>
        <d v="2024-08-04T00:00:00"/>
        <d v="2024-07-04T00:00:00"/>
        <d v="2024-12-28T00:00:00"/>
        <d v="2024-05-26T00:00:00"/>
        <d v="2024-10-22T00:00:00"/>
        <d v="2024-09-04T00:00:00"/>
        <d v="2024-04-03T00:00:00"/>
        <d v="2024-01-21T00:00:00"/>
        <d v="2024-04-30T00:00:00"/>
        <d v="2024-09-22T00:00:00"/>
        <d v="2024-08-06T00:00:00"/>
        <d v="2024-07-01T00:00:00"/>
        <d v="2024-12-30T00:00:00"/>
        <d v="2024-01-25T00:00:00"/>
        <d v="2024-07-09T00:00:00"/>
        <d v="2024-01-22T00:00:00"/>
        <d v="2024-07-31T00:00:00"/>
        <d v="2024-09-14T00:00:00"/>
        <d v="2024-06-28T00:00:00"/>
        <d v="2024-06-16T00:00:00"/>
        <d v="2024-10-18T00:00:00"/>
        <d v="2024-09-19T00:00:00"/>
        <d v="2024-02-22T00:00:00"/>
        <d v="2024-10-17T00:00:00"/>
        <d v="2024-04-21T00:00:00"/>
        <d v="2024-06-25T00:00:00"/>
        <d v="2024-12-26T00:00:00"/>
        <d v="2024-06-29T00:00:00"/>
        <d v="2024-06-13T00:00:00"/>
        <d v="2024-02-26T00:00:00"/>
        <d v="2024-11-18T00:00:00"/>
        <d v="2024-11-05T00:00:00"/>
        <d v="2024-08-24T00:00:00"/>
        <d v="2024-10-12T00:00:00"/>
        <d v="2024-10-13T00:00:00"/>
        <d v="2024-02-14T00:00:00"/>
        <d v="2024-03-06T00:00:00"/>
        <d v="2024-10-04T00:00:00"/>
        <d v="2024-05-17T00:00:00"/>
        <d v="2024-08-20T00:00:00"/>
        <d v="2024-06-26T00:00:00"/>
        <d v="2024-02-07T00:00:00"/>
        <d v="2024-10-20T00:00:00"/>
        <d v="2024-12-03T00:00:00"/>
        <d v="2024-08-09T00:00:00"/>
        <d v="2024-05-29T00:00:00"/>
        <d v="2024-05-19T00:00:00"/>
        <d v="2024-12-24T00:00:00"/>
        <d v="2024-07-03T00:00:00"/>
        <d v="2024-07-14T00:00:00"/>
        <d v="2024-07-25T00:00:00"/>
        <d v="2024-01-07T00:00:00"/>
        <d v="2024-11-07T00:00:00"/>
        <d v="2024-02-13T00:00:00"/>
        <d v="2024-01-01T00:00:00"/>
        <d v="2024-09-28T00:00:00"/>
        <d v="2024-02-29T00:00:00"/>
        <d v="2024-03-25T00:00:00"/>
        <d v="2024-09-21T00:00:00"/>
        <d v="2024-06-27T00:00:00"/>
        <d v="2024-01-28T00:00:00"/>
        <d v="2024-12-07T00:00:00"/>
        <d v="2024-06-17T00:00:00"/>
        <d v="2024-07-05T00:00:00"/>
        <d v="2024-12-20T00:00:00"/>
        <d v="2024-02-08T00:00:00"/>
        <d v="2024-09-29T00:00:00"/>
        <d v="2024-02-02T00:00:00"/>
        <d v="2024-07-23T00:00:00"/>
        <d v="2024-04-20T00:00:00"/>
        <d v="2024-06-11T00:00:00"/>
        <d v="2024-02-25T00:00:00"/>
        <d v="2024-03-01T00:00:00"/>
        <d v="2024-08-15T00:00:00"/>
        <d v="2024-12-12T00:00:00"/>
        <d v="2024-09-27T00:00:00"/>
        <d v="2024-03-17T00:00:00"/>
        <d v="2024-06-14T00:00:00"/>
        <d v="2024-04-02T00:00:00"/>
        <d v="2024-01-11T00:00:00"/>
        <d v="2024-03-03T00:00:00"/>
        <d v="2024-02-15T00:00:00"/>
        <d v="2024-10-10T00:00:00"/>
        <d v="2024-06-21T00:00:00"/>
        <d v="2024-09-09T00:00:00"/>
        <d v="2024-04-15T00:00:00"/>
        <d v="2024-02-19T00:00:00"/>
        <d v="2024-03-10T00:00:00"/>
      </sharedItems>
      <fieldGroup par="13"/>
    </cacheField>
    <cacheField name="Name" numFmtId="0">
      <sharedItems/>
    </cacheField>
    <cacheField name="Category" numFmtId="0">
      <sharedItems count="4">
        <s v="Furniture"/>
        <s v="Grocery"/>
        <s v="Electronics"/>
        <s v="Clothing"/>
      </sharedItems>
    </cacheField>
    <cacheField name="Product Name" numFmtId="0">
      <sharedItems count="12">
        <s v="Chair"/>
        <s v="Oil"/>
        <s v="Rice"/>
        <s v="Sugar"/>
        <s v="Laptop"/>
        <s v="Jacket"/>
        <s v="Shirt"/>
        <s v="Mobile"/>
        <s v="TV"/>
        <s v="Table"/>
        <s v="Sofa"/>
        <s v="Jeans"/>
      </sharedItems>
    </cacheField>
    <cacheField name="State" numFmtId="0">
      <sharedItems count="6">
        <s v="Delhi"/>
        <s v="Karnataka"/>
        <s v="West Bengal"/>
        <s v="Maharashtra"/>
        <s v="Bihar"/>
        <s v="UP"/>
      </sharedItems>
    </cacheField>
    <cacheField name="Gender" numFmtId="0">
      <sharedItems/>
    </cacheField>
    <cacheField name="Quantity" numFmtId="1">
      <sharedItems containsSemiMixedTypes="0" containsString="0" containsNumber="1" containsInteger="1" minValue="1" maxValue="50"/>
    </cacheField>
    <cacheField name="Cost" numFmtId="1">
      <sharedItems containsSemiMixedTypes="0" containsString="0" containsNumber="1" minValue="51.1" maxValue="997.78"/>
    </cacheField>
    <cacheField name="Price" numFmtId="1">
      <sharedItems containsSemiMixedTypes="0" containsString="0" containsNumber="1" minValue="61.75" maxValue="1452.12"/>
    </cacheField>
    <cacheField name="Purchase Cost" numFmtId="1">
      <sharedItems containsSemiMixedTypes="0" containsString="0" containsNumber="1" minValue="130.04" maxValue="47689.440000000002"/>
    </cacheField>
    <cacheField name="Sales" numFmtId="1">
      <sharedItems containsSemiMixedTypes="0" containsString="0" containsNumber="1" minValue="148.41999999999999" maxValue="66270.240000000005"/>
    </cacheField>
    <cacheField name="Profit" numFmtId="1">
      <sharedItems containsSemiMixedTypes="0" containsString="0" containsNumber="1" minValue="18.38" maxValue="21042.240000000002"/>
    </cacheField>
    <cacheField name="Days (Date)" numFmtId="0" databaseField="0">
      <fieldGroup base="0">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191299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Priya"/>
    <x v="0"/>
    <x v="0"/>
    <x v="0"/>
    <s v="Male"/>
    <n v="49"/>
    <n v="188.37"/>
    <n v="209.53"/>
    <n v="9230.1299999999992"/>
    <n v="10266.969999999999"/>
    <n v="1036.8399999999999"/>
  </r>
  <r>
    <x v="1"/>
    <s v="Sneha"/>
    <x v="1"/>
    <x v="1"/>
    <x v="1"/>
    <s v="Female"/>
    <n v="7"/>
    <n v="622.12"/>
    <n v="896.43"/>
    <n v="4354.84"/>
    <n v="6275.01"/>
    <n v="1920.17"/>
  </r>
  <r>
    <x v="2"/>
    <s v="Sneha"/>
    <x v="1"/>
    <x v="2"/>
    <x v="2"/>
    <s v="Female"/>
    <n v="12"/>
    <n v="655.14"/>
    <n v="826.98"/>
    <n v="7861.68"/>
    <n v="9923.76"/>
    <n v="2062.08"/>
  </r>
  <r>
    <x v="3"/>
    <s v="Rohit"/>
    <x v="0"/>
    <x v="0"/>
    <x v="3"/>
    <s v="Male"/>
    <n v="19"/>
    <n v="564.47"/>
    <n v="688.08"/>
    <n v="10724.93"/>
    <n v="13073.52"/>
    <n v="2348.59"/>
  </r>
  <r>
    <x v="4"/>
    <s v="Priya"/>
    <x v="1"/>
    <x v="3"/>
    <x v="0"/>
    <s v="Female"/>
    <n v="25"/>
    <n v="593.14"/>
    <n v="701.64"/>
    <n v="14828.5"/>
    <n v="17541"/>
    <n v="2712.5"/>
  </r>
  <r>
    <x v="5"/>
    <s v="Neha"/>
    <x v="2"/>
    <x v="4"/>
    <x v="1"/>
    <s v="Male"/>
    <n v="33"/>
    <n v="332.56"/>
    <n v="403.11"/>
    <n v="10974.48"/>
    <n v="13302.63"/>
    <n v="2328.15"/>
  </r>
  <r>
    <x v="6"/>
    <s v="Neha"/>
    <x v="3"/>
    <x v="5"/>
    <x v="1"/>
    <s v="Male"/>
    <n v="16"/>
    <n v="360.82"/>
    <n v="509.45"/>
    <n v="5773.12"/>
    <n v="8151.2"/>
    <n v="2378.08"/>
  </r>
  <r>
    <x v="7"/>
    <s v="Rahul"/>
    <x v="1"/>
    <x v="3"/>
    <x v="2"/>
    <s v="Male"/>
    <n v="45"/>
    <n v="248.9"/>
    <n v="354.09"/>
    <n v="11200.5"/>
    <n v="15934.05"/>
    <n v="4733.55"/>
  </r>
  <r>
    <x v="8"/>
    <s v="Vikas"/>
    <x v="1"/>
    <x v="3"/>
    <x v="1"/>
    <s v="Male"/>
    <n v="33"/>
    <n v="304.31"/>
    <n v="366.9"/>
    <n v="10042.23"/>
    <n v="12107.7"/>
    <n v="2065.4699999999998"/>
  </r>
  <r>
    <x v="9"/>
    <s v="Priya"/>
    <x v="3"/>
    <x v="5"/>
    <x v="0"/>
    <s v="Male"/>
    <n v="43"/>
    <n v="241.62"/>
    <n v="350.02"/>
    <n v="10389.66"/>
    <n v="15050.86"/>
    <n v="4661.2"/>
  </r>
  <r>
    <x v="6"/>
    <s v="Sneha"/>
    <x v="3"/>
    <x v="5"/>
    <x v="0"/>
    <s v="Female"/>
    <n v="46"/>
    <n v="940.4"/>
    <n v="1347.14"/>
    <n v="43258.400000000001"/>
    <n v="61968.44"/>
    <n v="18710.04"/>
  </r>
  <r>
    <x v="10"/>
    <s v="Sneha"/>
    <x v="3"/>
    <x v="6"/>
    <x v="3"/>
    <s v="Male"/>
    <n v="28"/>
    <n v="495.53"/>
    <n v="718.72"/>
    <n v="13874.84"/>
    <n v="20124.16"/>
    <n v="6249.32"/>
  </r>
  <r>
    <x v="11"/>
    <s v="Ankit"/>
    <x v="0"/>
    <x v="0"/>
    <x v="4"/>
    <s v="Male"/>
    <n v="26"/>
    <n v="892.62"/>
    <n v="1308.01"/>
    <n v="23208.12"/>
    <n v="34008.26"/>
    <n v="10800.14"/>
  </r>
  <r>
    <x v="12"/>
    <s v="Rohit"/>
    <x v="2"/>
    <x v="7"/>
    <x v="3"/>
    <s v="Female"/>
    <n v="3"/>
    <n v="976.92"/>
    <n v="1357.85"/>
    <n v="2930.76"/>
    <n v="4073.55"/>
    <n v="1142.79"/>
  </r>
  <r>
    <x v="13"/>
    <s v="Kiran"/>
    <x v="2"/>
    <x v="8"/>
    <x v="4"/>
    <s v="Male"/>
    <n v="35"/>
    <n v="410.02"/>
    <n v="506.31"/>
    <n v="14350.7"/>
    <n v="17720.849999999999"/>
    <n v="3370.15"/>
  </r>
  <r>
    <x v="14"/>
    <s v="Priya"/>
    <x v="1"/>
    <x v="3"/>
    <x v="4"/>
    <s v="Male"/>
    <n v="18"/>
    <n v="172.76"/>
    <n v="243.25"/>
    <n v="3109.68"/>
    <n v="4378.5"/>
    <n v="1268.82"/>
  </r>
  <r>
    <x v="15"/>
    <s v="Neha"/>
    <x v="3"/>
    <x v="5"/>
    <x v="5"/>
    <s v="Male"/>
    <n v="30"/>
    <n v="243.95"/>
    <n v="361.27"/>
    <n v="7318.5"/>
    <n v="10838.1"/>
    <n v="3519.6"/>
  </r>
  <r>
    <x v="16"/>
    <s v="Rahul"/>
    <x v="2"/>
    <x v="4"/>
    <x v="5"/>
    <s v="Female"/>
    <n v="39"/>
    <n v="214.79"/>
    <n v="261.61"/>
    <n v="8376.81"/>
    <n v="10202.790000000001"/>
    <n v="1825.98"/>
  </r>
  <r>
    <x v="17"/>
    <s v="Kiran"/>
    <x v="0"/>
    <x v="9"/>
    <x v="1"/>
    <s v="Female"/>
    <n v="25"/>
    <n v="240.13"/>
    <n v="264.68"/>
    <n v="6003.25"/>
    <n v="6617"/>
    <n v="613.75"/>
  </r>
  <r>
    <x v="18"/>
    <s v="Rahul"/>
    <x v="2"/>
    <x v="8"/>
    <x v="2"/>
    <s v="Male"/>
    <n v="38"/>
    <n v="795.8"/>
    <n v="1121.78"/>
    <n v="30240.400000000001"/>
    <n v="42627.64"/>
    <n v="12387.24"/>
  </r>
  <r>
    <x v="19"/>
    <s v="Amit"/>
    <x v="0"/>
    <x v="9"/>
    <x v="4"/>
    <s v="Female"/>
    <n v="7"/>
    <n v="590.14"/>
    <n v="792.64"/>
    <n v="4130.9799999999996"/>
    <n v="5548.48"/>
    <n v="1417.5"/>
  </r>
  <r>
    <x v="20"/>
    <s v="Neha"/>
    <x v="1"/>
    <x v="1"/>
    <x v="5"/>
    <s v="Male"/>
    <n v="49"/>
    <n v="423.99"/>
    <n v="564.52"/>
    <n v="20775.509999999998"/>
    <n v="27661.48"/>
    <n v="6885.97"/>
  </r>
  <r>
    <x v="21"/>
    <s v="Amit"/>
    <x v="1"/>
    <x v="1"/>
    <x v="0"/>
    <s v="Male"/>
    <n v="11"/>
    <n v="213.92"/>
    <n v="249.69"/>
    <n v="2353.12"/>
    <n v="2746.59"/>
    <n v="393.47"/>
  </r>
  <r>
    <x v="22"/>
    <s v="Kiran"/>
    <x v="0"/>
    <x v="10"/>
    <x v="1"/>
    <s v="Female"/>
    <n v="41"/>
    <n v="594.02"/>
    <n v="775.91"/>
    <n v="24354.82"/>
    <n v="31812.31"/>
    <n v="7457.49"/>
  </r>
  <r>
    <x v="23"/>
    <s v="Rahul"/>
    <x v="3"/>
    <x v="6"/>
    <x v="0"/>
    <s v="Female"/>
    <n v="28"/>
    <n v="405.98"/>
    <n v="584.28"/>
    <n v="11367.44"/>
    <n v="16359.84"/>
    <n v="4992.3999999999996"/>
  </r>
  <r>
    <x v="24"/>
    <s v="Amit"/>
    <x v="0"/>
    <x v="9"/>
    <x v="2"/>
    <s v="Female"/>
    <n v="24"/>
    <n v="892.79"/>
    <n v="1146.26"/>
    <n v="21426.959999999999"/>
    <n v="27510.240000000002"/>
    <n v="6083.28"/>
  </r>
  <r>
    <x v="25"/>
    <s v="Amit"/>
    <x v="0"/>
    <x v="10"/>
    <x v="0"/>
    <s v="Male"/>
    <n v="28"/>
    <n v="533.54"/>
    <n v="743.39"/>
    <n v="14939.12"/>
    <n v="20814.919999999998"/>
    <n v="5875.8"/>
  </r>
  <r>
    <x v="26"/>
    <s v="Priya"/>
    <x v="1"/>
    <x v="1"/>
    <x v="2"/>
    <s v="Female"/>
    <n v="37"/>
    <n v="675.62"/>
    <n v="809.37"/>
    <n v="24997.94"/>
    <n v="29946.69"/>
    <n v="4948.75"/>
  </r>
  <r>
    <x v="27"/>
    <s v="Kiran"/>
    <x v="1"/>
    <x v="2"/>
    <x v="4"/>
    <s v="Female"/>
    <n v="27"/>
    <n v="910.08"/>
    <n v="1315.98"/>
    <n v="24572.16"/>
    <n v="35531.46"/>
    <n v="10959.3"/>
  </r>
  <r>
    <x v="28"/>
    <s v="Rahul"/>
    <x v="0"/>
    <x v="10"/>
    <x v="4"/>
    <s v="Female"/>
    <n v="5"/>
    <n v="138.97"/>
    <n v="171.39"/>
    <n v="694.85"/>
    <n v="856.95"/>
    <n v="162.1"/>
  </r>
  <r>
    <x v="29"/>
    <s v="Kiran"/>
    <x v="1"/>
    <x v="1"/>
    <x v="2"/>
    <s v="Female"/>
    <n v="41"/>
    <n v="900.62"/>
    <n v="1045.3699999999999"/>
    <n v="36925.42"/>
    <n v="42860.17"/>
    <n v="5934.75"/>
  </r>
  <r>
    <x v="30"/>
    <s v="Rohit"/>
    <x v="2"/>
    <x v="4"/>
    <x v="2"/>
    <s v="Female"/>
    <n v="44"/>
    <n v="433.26"/>
    <n v="603.54999999999995"/>
    <n v="19063.439999999999"/>
    <n v="26556.2"/>
    <n v="7492.76"/>
  </r>
  <r>
    <x v="31"/>
    <s v="Pooja"/>
    <x v="0"/>
    <x v="10"/>
    <x v="5"/>
    <s v="Female"/>
    <n v="43"/>
    <n v="733.7"/>
    <n v="1050.26"/>
    <n v="31549.1"/>
    <n v="45161.18"/>
    <n v="13612.08"/>
  </r>
  <r>
    <x v="32"/>
    <s v="Ankit"/>
    <x v="2"/>
    <x v="4"/>
    <x v="2"/>
    <s v="Female"/>
    <n v="12"/>
    <n v="451.19"/>
    <n v="669.66"/>
    <n v="5414.28"/>
    <n v="8035.92"/>
    <n v="2621.64"/>
  </r>
  <r>
    <x v="33"/>
    <s v="Pooja"/>
    <x v="2"/>
    <x v="8"/>
    <x v="4"/>
    <s v="Male"/>
    <n v="36"/>
    <n v="409.93"/>
    <n v="590.23"/>
    <n v="14757.48"/>
    <n v="21248.28"/>
    <n v="6490.8"/>
  </r>
  <r>
    <x v="34"/>
    <s v="Rahul"/>
    <x v="2"/>
    <x v="7"/>
    <x v="0"/>
    <s v="Female"/>
    <n v="29"/>
    <n v="870.41"/>
    <n v="1175.6600000000001"/>
    <n v="25241.89"/>
    <n v="34094.14"/>
    <n v="8852.25"/>
  </r>
  <r>
    <x v="35"/>
    <s v="Vikas"/>
    <x v="2"/>
    <x v="4"/>
    <x v="1"/>
    <s v="Male"/>
    <n v="26"/>
    <n v="803.5"/>
    <n v="1030.45"/>
    <n v="20891"/>
    <n v="26791.7"/>
    <n v="5900.7"/>
  </r>
  <r>
    <x v="36"/>
    <s v="Amit"/>
    <x v="1"/>
    <x v="3"/>
    <x v="0"/>
    <s v="Male"/>
    <n v="36"/>
    <n v="165.21"/>
    <n v="193.3"/>
    <n v="5947.56"/>
    <n v="6958.8"/>
    <n v="1011.24"/>
  </r>
  <r>
    <x v="37"/>
    <s v="Pooja"/>
    <x v="3"/>
    <x v="6"/>
    <x v="4"/>
    <s v="Female"/>
    <n v="41"/>
    <n v="64.31"/>
    <n v="77.05"/>
    <n v="2636.71"/>
    <n v="3159.05"/>
    <n v="522.34"/>
  </r>
  <r>
    <x v="38"/>
    <s v="Amit"/>
    <x v="3"/>
    <x v="11"/>
    <x v="0"/>
    <s v="Female"/>
    <n v="23"/>
    <n v="801.7"/>
    <n v="1100.98"/>
    <n v="18439.099999999999"/>
    <n v="25322.54"/>
    <n v="6883.44"/>
  </r>
  <r>
    <x v="39"/>
    <s v="Neha"/>
    <x v="3"/>
    <x v="5"/>
    <x v="1"/>
    <s v="Female"/>
    <n v="20"/>
    <n v="824.91"/>
    <n v="916.37"/>
    <n v="16498.2"/>
    <n v="18327.400000000001"/>
    <n v="1829.2"/>
  </r>
  <r>
    <x v="40"/>
    <s v="Rohit"/>
    <x v="1"/>
    <x v="1"/>
    <x v="4"/>
    <s v="Female"/>
    <n v="19"/>
    <n v="237.45"/>
    <n v="265.58"/>
    <n v="4511.55"/>
    <n v="5046.0200000000004"/>
    <n v="534.47"/>
  </r>
  <r>
    <x v="41"/>
    <s v="Ankit"/>
    <x v="1"/>
    <x v="2"/>
    <x v="0"/>
    <s v="Female"/>
    <n v="14"/>
    <n v="124.84"/>
    <n v="164.35"/>
    <n v="1747.76"/>
    <n v="2300.9"/>
    <n v="553.14"/>
  </r>
  <r>
    <x v="42"/>
    <s v="Ankit"/>
    <x v="1"/>
    <x v="2"/>
    <x v="3"/>
    <s v="Female"/>
    <n v="44"/>
    <n v="941.72"/>
    <n v="1219.22"/>
    <n v="41435.68"/>
    <n v="53645.68"/>
    <n v="12210"/>
  </r>
  <r>
    <x v="43"/>
    <s v="Rohit"/>
    <x v="1"/>
    <x v="1"/>
    <x v="5"/>
    <s v="Female"/>
    <n v="8"/>
    <n v="617.47"/>
    <n v="842.08"/>
    <n v="4939.76"/>
    <n v="6736.64"/>
    <n v="1796.88"/>
  </r>
  <r>
    <x v="44"/>
    <s v="Pooja"/>
    <x v="3"/>
    <x v="5"/>
    <x v="4"/>
    <s v="Female"/>
    <n v="35"/>
    <n v="422.86"/>
    <n v="540.29"/>
    <n v="14800.1"/>
    <n v="18910.150000000001"/>
    <n v="4110.05"/>
  </r>
  <r>
    <x v="45"/>
    <s v="Ankit"/>
    <x v="3"/>
    <x v="5"/>
    <x v="4"/>
    <s v="Male"/>
    <n v="9"/>
    <n v="175.2"/>
    <n v="241.54"/>
    <n v="1576.8"/>
    <n v="2173.86"/>
    <n v="597.05999999999995"/>
  </r>
  <r>
    <x v="46"/>
    <s v="Vikas"/>
    <x v="2"/>
    <x v="8"/>
    <x v="2"/>
    <s v="Female"/>
    <n v="10"/>
    <n v="546.55999999999995"/>
    <n v="762.77"/>
    <n v="5465.6"/>
    <n v="7627.7"/>
    <n v="2162.1"/>
  </r>
  <r>
    <x v="47"/>
    <s v="Neha"/>
    <x v="3"/>
    <x v="6"/>
    <x v="5"/>
    <s v="Male"/>
    <n v="25"/>
    <n v="81.239999999999995"/>
    <n v="90.33"/>
    <n v="2031"/>
    <n v="2258.25"/>
    <n v="227.25"/>
  </r>
  <r>
    <x v="48"/>
    <s v="Sneha"/>
    <x v="1"/>
    <x v="3"/>
    <x v="2"/>
    <s v="Male"/>
    <n v="27"/>
    <n v="820.3"/>
    <n v="1227.51"/>
    <n v="22148.1"/>
    <n v="33142.769999999997"/>
    <n v="10994.67"/>
  </r>
  <r>
    <x v="49"/>
    <s v="Amit"/>
    <x v="1"/>
    <x v="1"/>
    <x v="2"/>
    <s v="Female"/>
    <n v="15"/>
    <n v="159.24"/>
    <n v="213.81"/>
    <n v="2388.6"/>
    <n v="3207.15"/>
    <n v="818.55"/>
  </r>
  <r>
    <x v="50"/>
    <s v="Ankit"/>
    <x v="1"/>
    <x v="3"/>
    <x v="2"/>
    <s v="Male"/>
    <n v="22"/>
    <n v="876.57"/>
    <n v="1211.21"/>
    <n v="19284.54"/>
    <n v="26646.62"/>
    <n v="7362.08"/>
  </r>
  <r>
    <x v="51"/>
    <s v="Rahul"/>
    <x v="2"/>
    <x v="8"/>
    <x v="2"/>
    <s v="Female"/>
    <n v="19"/>
    <n v="689.49"/>
    <n v="788.91"/>
    <n v="13100.31"/>
    <n v="14989.29"/>
    <n v="1888.98"/>
  </r>
  <r>
    <x v="3"/>
    <s v="Kiran"/>
    <x v="2"/>
    <x v="7"/>
    <x v="3"/>
    <s v="Female"/>
    <n v="32"/>
    <n v="88.78"/>
    <n v="119.53"/>
    <n v="2840.96"/>
    <n v="3824.96"/>
    <n v="984"/>
  </r>
  <r>
    <x v="52"/>
    <s v="Neha"/>
    <x v="2"/>
    <x v="7"/>
    <x v="0"/>
    <s v="Male"/>
    <n v="29"/>
    <n v="141.82"/>
    <n v="196.14"/>
    <n v="4112.78"/>
    <n v="5688.06"/>
    <n v="1575.28"/>
  </r>
  <r>
    <x v="53"/>
    <s v="Amit"/>
    <x v="1"/>
    <x v="3"/>
    <x v="2"/>
    <s v="Male"/>
    <n v="29"/>
    <n v="105.25"/>
    <n v="139.72999999999999"/>
    <n v="3052.25"/>
    <n v="4052.17"/>
    <n v="999.92"/>
  </r>
  <r>
    <x v="54"/>
    <s v="Neha"/>
    <x v="2"/>
    <x v="4"/>
    <x v="3"/>
    <s v="Female"/>
    <n v="50"/>
    <n v="320.12"/>
    <n v="447.04"/>
    <n v="16006"/>
    <n v="22352"/>
    <n v="6346"/>
  </r>
  <r>
    <x v="55"/>
    <s v="Priya"/>
    <x v="2"/>
    <x v="8"/>
    <x v="2"/>
    <s v="Male"/>
    <n v="46"/>
    <n v="635.13"/>
    <n v="806.45"/>
    <n v="29215.98"/>
    <n v="37096.699999999997"/>
    <n v="7880.72"/>
  </r>
  <r>
    <x v="56"/>
    <s v="Sneha"/>
    <x v="3"/>
    <x v="6"/>
    <x v="2"/>
    <s v="Female"/>
    <n v="44"/>
    <n v="386.01"/>
    <n v="481.86"/>
    <n v="16984.439999999999"/>
    <n v="21201.84"/>
    <n v="4217.3999999999996"/>
  </r>
  <r>
    <x v="57"/>
    <s v="Neha"/>
    <x v="0"/>
    <x v="9"/>
    <x v="0"/>
    <s v="Female"/>
    <n v="5"/>
    <n v="661.98"/>
    <n v="906.93"/>
    <n v="3309.9"/>
    <n v="4534.6499999999996"/>
    <n v="1224.75"/>
  </r>
  <r>
    <x v="58"/>
    <s v="Neha"/>
    <x v="1"/>
    <x v="2"/>
    <x v="3"/>
    <s v="Male"/>
    <n v="6"/>
    <n v="257.07"/>
    <n v="319.04000000000002"/>
    <n v="1542.42"/>
    <n v="1914.24"/>
    <n v="371.82"/>
  </r>
  <r>
    <x v="59"/>
    <s v="Sneha"/>
    <x v="1"/>
    <x v="3"/>
    <x v="0"/>
    <s v="Male"/>
    <n v="23"/>
    <n v="512.83000000000004"/>
    <n v="628.12"/>
    <n v="11795.09"/>
    <n v="14446.76"/>
    <n v="2651.67"/>
  </r>
  <r>
    <x v="60"/>
    <s v="Rohit"/>
    <x v="1"/>
    <x v="1"/>
    <x v="2"/>
    <s v="Female"/>
    <n v="2"/>
    <n v="678.61"/>
    <n v="791.15"/>
    <n v="1357.22"/>
    <n v="1582.3"/>
    <n v="225.08"/>
  </r>
  <r>
    <x v="61"/>
    <s v="Rahul"/>
    <x v="3"/>
    <x v="11"/>
    <x v="3"/>
    <s v="Female"/>
    <n v="47"/>
    <n v="533.85"/>
    <n v="591.91"/>
    <n v="25090.95"/>
    <n v="27819.77"/>
    <n v="2728.82"/>
  </r>
  <r>
    <x v="62"/>
    <s v="Sneha"/>
    <x v="2"/>
    <x v="4"/>
    <x v="0"/>
    <s v="Male"/>
    <n v="19"/>
    <n v="278.3"/>
    <n v="385.59"/>
    <n v="5287.7"/>
    <n v="7326.21"/>
    <n v="2038.51"/>
  </r>
  <r>
    <x v="63"/>
    <s v="Rohit"/>
    <x v="3"/>
    <x v="6"/>
    <x v="0"/>
    <s v="Female"/>
    <n v="28"/>
    <n v="401.38"/>
    <n v="441.61"/>
    <n v="11238.64"/>
    <n v="12365.08"/>
    <n v="1126.44"/>
  </r>
  <r>
    <x v="64"/>
    <s v="Vikas"/>
    <x v="3"/>
    <x v="6"/>
    <x v="0"/>
    <s v="Female"/>
    <n v="48"/>
    <n v="153.37"/>
    <n v="194.3"/>
    <n v="7361.76"/>
    <n v="9326.4"/>
    <n v="1964.64"/>
  </r>
  <r>
    <x v="65"/>
    <s v="Kiran"/>
    <x v="2"/>
    <x v="4"/>
    <x v="0"/>
    <s v="Male"/>
    <n v="32"/>
    <n v="71.239999999999995"/>
    <n v="95.83"/>
    <n v="2279.6799999999998"/>
    <n v="3066.56"/>
    <n v="786.88"/>
  </r>
  <r>
    <x v="58"/>
    <s v="Vikas"/>
    <x v="3"/>
    <x v="6"/>
    <x v="0"/>
    <s v="Male"/>
    <n v="4"/>
    <n v="450.21"/>
    <n v="562.78"/>
    <n v="1800.84"/>
    <n v="2251.12"/>
    <n v="450.28"/>
  </r>
  <r>
    <x v="66"/>
    <s v="Sneha"/>
    <x v="3"/>
    <x v="11"/>
    <x v="3"/>
    <s v="Male"/>
    <n v="49"/>
    <n v="727.63"/>
    <n v="889.83"/>
    <n v="35653.870000000003"/>
    <n v="43601.67"/>
    <n v="7947.8"/>
  </r>
  <r>
    <x v="67"/>
    <s v="Neha"/>
    <x v="2"/>
    <x v="8"/>
    <x v="5"/>
    <s v="Female"/>
    <n v="31"/>
    <n v="629.47"/>
    <n v="879.62"/>
    <n v="19513.57"/>
    <n v="27268.22"/>
    <n v="7754.65"/>
  </r>
  <r>
    <x v="68"/>
    <s v="Pooja"/>
    <x v="0"/>
    <x v="9"/>
    <x v="5"/>
    <s v="Male"/>
    <n v="46"/>
    <n v="725.02"/>
    <n v="1015.51"/>
    <n v="33350.92"/>
    <n v="46713.46"/>
    <n v="13362.54"/>
  </r>
  <r>
    <x v="69"/>
    <s v="Neha"/>
    <x v="0"/>
    <x v="9"/>
    <x v="1"/>
    <s v="Male"/>
    <n v="45"/>
    <n v="592.16999999999996"/>
    <n v="802.95"/>
    <n v="26647.65"/>
    <n v="36132.75"/>
    <n v="9485.1"/>
  </r>
  <r>
    <x v="70"/>
    <s v="Pooja"/>
    <x v="0"/>
    <x v="10"/>
    <x v="0"/>
    <s v="Male"/>
    <n v="20"/>
    <n v="102.99"/>
    <n v="152.63"/>
    <n v="2059.8000000000002"/>
    <n v="3052.6"/>
    <n v="992.8"/>
  </r>
  <r>
    <x v="5"/>
    <s v="Kiran"/>
    <x v="2"/>
    <x v="8"/>
    <x v="4"/>
    <s v="Female"/>
    <n v="35"/>
    <n v="745.14"/>
    <n v="957.97"/>
    <n v="26079.9"/>
    <n v="33528.949999999997"/>
    <n v="7449.05"/>
  </r>
  <r>
    <x v="71"/>
    <s v="Rahul"/>
    <x v="2"/>
    <x v="4"/>
    <x v="3"/>
    <s v="Female"/>
    <n v="16"/>
    <n v="680.07"/>
    <n v="940.35"/>
    <n v="10881.12"/>
    <n v="15045.6"/>
    <n v="4164.4799999999996"/>
  </r>
  <r>
    <x v="72"/>
    <s v="Ankit"/>
    <x v="2"/>
    <x v="8"/>
    <x v="1"/>
    <s v="Female"/>
    <n v="38"/>
    <n v="768.84"/>
    <n v="1064.8900000000001"/>
    <n v="29215.919999999998"/>
    <n v="40465.82"/>
    <n v="11249.9"/>
  </r>
  <r>
    <x v="20"/>
    <s v="Kiran"/>
    <x v="3"/>
    <x v="6"/>
    <x v="5"/>
    <s v="Male"/>
    <n v="7"/>
    <n v="723.46"/>
    <n v="958"/>
    <n v="5064.22"/>
    <n v="6706"/>
    <n v="1641.78"/>
  </r>
  <r>
    <x v="43"/>
    <s v="Rahul"/>
    <x v="3"/>
    <x v="6"/>
    <x v="2"/>
    <s v="Male"/>
    <n v="17"/>
    <n v="102.53"/>
    <n v="143.41999999999999"/>
    <n v="1743.01"/>
    <n v="2438.14"/>
    <n v="695.13"/>
  </r>
  <r>
    <x v="73"/>
    <s v="Vikas"/>
    <x v="3"/>
    <x v="11"/>
    <x v="0"/>
    <s v="Male"/>
    <n v="2"/>
    <n v="262.19"/>
    <n v="369.78"/>
    <n v="524.38"/>
    <n v="739.56"/>
    <n v="215.18"/>
  </r>
  <r>
    <x v="74"/>
    <s v="Priya"/>
    <x v="2"/>
    <x v="4"/>
    <x v="2"/>
    <s v="Male"/>
    <n v="9"/>
    <n v="796.6"/>
    <n v="1075.29"/>
    <n v="7169.4"/>
    <n v="9677.61"/>
    <n v="2508.21"/>
  </r>
  <r>
    <x v="75"/>
    <s v="Priya"/>
    <x v="1"/>
    <x v="2"/>
    <x v="3"/>
    <s v="Female"/>
    <n v="5"/>
    <n v="434.86"/>
    <n v="598.05999999999995"/>
    <n v="2174.3000000000002"/>
    <n v="2990.3"/>
    <n v="816"/>
  </r>
  <r>
    <x v="76"/>
    <s v="Kiran"/>
    <x v="3"/>
    <x v="5"/>
    <x v="5"/>
    <s v="Male"/>
    <n v="38"/>
    <n v="658.58"/>
    <n v="896"/>
    <n v="25026.04"/>
    <n v="34048"/>
    <n v="9021.9599999999991"/>
  </r>
  <r>
    <x v="77"/>
    <s v="Rohit"/>
    <x v="2"/>
    <x v="7"/>
    <x v="1"/>
    <s v="Male"/>
    <n v="21"/>
    <n v="81.510000000000005"/>
    <n v="104.27"/>
    <n v="1711.71"/>
    <n v="2189.67"/>
    <n v="477.96"/>
  </r>
  <r>
    <x v="78"/>
    <s v="Amit"/>
    <x v="2"/>
    <x v="4"/>
    <x v="4"/>
    <s v="Male"/>
    <n v="5"/>
    <n v="420.24"/>
    <n v="567.89"/>
    <n v="2101.1999999999998"/>
    <n v="2839.45"/>
    <n v="738.25"/>
  </r>
  <r>
    <x v="79"/>
    <s v="Ankit"/>
    <x v="1"/>
    <x v="1"/>
    <x v="2"/>
    <s v="Male"/>
    <n v="10"/>
    <n v="991.29"/>
    <n v="1298.2"/>
    <n v="9912.9"/>
    <n v="12982"/>
    <n v="3069.1"/>
  </r>
  <r>
    <x v="80"/>
    <s v="Amit"/>
    <x v="1"/>
    <x v="3"/>
    <x v="4"/>
    <s v="Male"/>
    <n v="33"/>
    <n v="595.5"/>
    <n v="889.4"/>
    <n v="19651.5"/>
    <n v="29350.2"/>
    <n v="9698.7000000000007"/>
  </r>
  <r>
    <x v="81"/>
    <s v="Amit"/>
    <x v="2"/>
    <x v="4"/>
    <x v="4"/>
    <s v="Female"/>
    <n v="13"/>
    <n v="702.52"/>
    <n v="951.8"/>
    <n v="9132.76"/>
    <n v="12373.4"/>
    <n v="3240.64"/>
  </r>
  <r>
    <x v="82"/>
    <s v="Sneha"/>
    <x v="2"/>
    <x v="7"/>
    <x v="1"/>
    <s v="Female"/>
    <n v="45"/>
    <n v="543.84"/>
    <n v="708.26"/>
    <n v="24472.799999999999"/>
    <n v="31871.7"/>
    <n v="7398.9"/>
  </r>
  <r>
    <x v="83"/>
    <s v="Ankit"/>
    <x v="3"/>
    <x v="11"/>
    <x v="3"/>
    <s v="Male"/>
    <n v="20"/>
    <n v="924.35"/>
    <n v="1151.33"/>
    <n v="18487"/>
    <n v="23026.6"/>
    <n v="4539.6000000000004"/>
  </r>
  <r>
    <x v="84"/>
    <s v="Amit"/>
    <x v="3"/>
    <x v="11"/>
    <x v="1"/>
    <s v="Female"/>
    <n v="30"/>
    <n v="699.42"/>
    <n v="1021.69"/>
    <n v="20982.6"/>
    <n v="30650.7"/>
    <n v="9668.1"/>
  </r>
  <r>
    <x v="64"/>
    <s v="Ankit"/>
    <x v="2"/>
    <x v="8"/>
    <x v="0"/>
    <s v="Female"/>
    <n v="39"/>
    <n v="170.7"/>
    <n v="242.43"/>
    <n v="6657.3"/>
    <n v="9454.77"/>
    <n v="2797.47"/>
  </r>
  <r>
    <x v="18"/>
    <s v="Sneha"/>
    <x v="0"/>
    <x v="10"/>
    <x v="0"/>
    <s v="Male"/>
    <n v="24"/>
    <n v="870.28"/>
    <n v="1052.6099999999999"/>
    <n v="20886.72"/>
    <n v="25262.639999999999"/>
    <n v="4375.92"/>
  </r>
  <r>
    <x v="85"/>
    <s v="Ankit"/>
    <x v="0"/>
    <x v="10"/>
    <x v="4"/>
    <s v="Male"/>
    <n v="20"/>
    <n v="181.85"/>
    <n v="208.05"/>
    <n v="3637"/>
    <n v="4161"/>
    <n v="524"/>
  </r>
  <r>
    <x v="11"/>
    <s v="Sneha"/>
    <x v="3"/>
    <x v="11"/>
    <x v="0"/>
    <s v="Male"/>
    <n v="8"/>
    <n v="92.06"/>
    <n v="109.9"/>
    <n v="736.48"/>
    <n v="879.2"/>
    <n v="142.72"/>
  </r>
  <r>
    <x v="86"/>
    <s v="Rohit"/>
    <x v="0"/>
    <x v="0"/>
    <x v="3"/>
    <s v="Female"/>
    <n v="9"/>
    <n v="762.77"/>
    <n v="839.8"/>
    <n v="6864.93"/>
    <n v="7558.2"/>
    <n v="693.27"/>
  </r>
  <r>
    <x v="87"/>
    <s v="Vikas"/>
    <x v="0"/>
    <x v="0"/>
    <x v="4"/>
    <s v="Female"/>
    <n v="38"/>
    <n v="446.32"/>
    <n v="619.86"/>
    <n v="16960.16"/>
    <n v="23554.68"/>
    <n v="6594.52"/>
  </r>
  <r>
    <x v="88"/>
    <s v="Vikas"/>
    <x v="1"/>
    <x v="2"/>
    <x v="5"/>
    <s v="Female"/>
    <n v="10"/>
    <n v="971.92"/>
    <n v="1389.01"/>
    <n v="9719.2000000000007"/>
    <n v="13890.1"/>
    <n v="4170.8999999999996"/>
  </r>
  <r>
    <x v="60"/>
    <s v="Ankit"/>
    <x v="0"/>
    <x v="0"/>
    <x v="2"/>
    <s v="Male"/>
    <n v="10"/>
    <n v="799.09"/>
    <n v="917.59"/>
    <n v="7990.9"/>
    <n v="9175.9"/>
    <n v="1185"/>
  </r>
  <r>
    <x v="88"/>
    <s v="Neha"/>
    <x v="0"/>
    <x v="9"/>
    <x v="5"/>
    <s v="Female"/>
    <n v="6"/>
    <n v="738.89"/>
    <n v="1107.3399999999999"/>
    <n v="4433.34"/>
    <n v="6644.04"/>
    <n v="2210.6999999999998"/>
  </r>
  <r>
    <x v="89"/>
    <s v="Priya"/>
    <x v="1"/>
    <x v="3"/>
    <x v="4"/>
    <s v="Male"/>
    <n v="48"/>
    <n v="561.67999999999995"/>
    <n v="826.49"/>
    <n v="26960.639999999999"/>
    <n v="39671.519999999997"/>
    <n v="12710.88"/>
  </r>
  <r>
    <x v="49"/>
    <s v="Amit"/>
    <x v="2"/>
    <x v="8"/>
    <x v="4"/>
    <s v="Female"/>
    <n v="1"/>
    <n v="139.76"/>
    <n v="177.16"/>
    <n v="139.76"/>
    <n v="177.16"/>
    <n v="37.4"/>
  </r>
  <r>
    <x v="90"/>
    <s v="Ankit"/>
    <x v="0"/>
    <x v="0"/>
    <x v="1"/>
    <s v="Male"/>
    <n v="10"/>
    <n v="848.43"/>
    <n v="1082.19"/>
    <n v="8484.2999999999993"/>
    <n v="10821.9"/>
    <n v="2337.6"/>
  </r>
  <r>
    <x v="39"/>
    <s v="Priya"/>
    <x v="2"/>
    <x v="8"/>
    <x v="4"/>
    <s v="Male"/>
    <n v="28"/>
    <n v="911.4"/>
    <n v="1241.3599999999999"/>
    <n v="25519.200000000001"/>
    <n v="34758.080000000002"/>
    <n v="9238.8799999999992"/>
  </r>
  <r>
    <x v="91"/>
    <s v="Priya"/>
    <x v="1"/>
    <x v="2"/>
    <x v="4"/>
    <s v="Male"/>
    <n v="33"/>
    <n v="139.03"/>
    <n v="200.01"/>
    <n v="4587.99"/>
    <n v="6600.33"/>
    <n v="2012.34"/>
  </r>
  <r>
    <x v="92"/>
    <s v="Ankit"/>
    <x v="2"/>
    <x v="4"/>
    <x v="5"/>
    <s v="Female"/>
    <n v="39"/>
    <n v="767.35"/>
    <n v="1088.06"/>
    <n v="29926.65"/>
    <n v="42434.34"/>
    <n v="12507.69"/>
  </r>
  <r>
    <x v="93"/>
    <s v="Amit"/>
    <x v="2"/>
    <x v="7"/>
    <x v="1"/>
    <s v="Female"/>
    <n v="50"/>
    <n v="635.17999999999995"/>
    <n v="881.5"/>
    <n v="31759"/>
    <n v="44075"/>
    <n v="12316"/>
  </r>
  <r>
    <x v="73"/>
    <s v="Priya"/>
    <x v="2"/>
    <x v="4"/>
    <x v="0"/>
    <s v="Female"/>
    <n v="11"/>
    <n v="478.98"/>
    <n v="584.63"/>
    <n v="5268.78"/>
    <n v="6430.93"/>
    <n v="1162.1500000000001"/>
  </r>
  <r>
    <x v="94"/>
    <s v="Vikas"/>
    <x v="3"/>
    <x v="5"/>
    <x v="3"/>
    <s v="Female"/>
    <n v="6"/>
    <n v="171.11"/>
    <n v="210.24"/>
    <n v="1026.6600000000001"/>
    <n v="1261.44"/>
    <n v="234.78"/>
  </r>
  <r>
    <x v="95"/>
    <s v="Priya"/>
    <x v="3"/>
    <x v="11"/>
    <x v="1"/>
    <s v="Female"/>
    <n v="9"/>
    <n v="87.78"/>
    <n v="125.58"/>
    <n v="790.02"/>
    <n v="1130.22"/>
    <n v="340.2"/>
  </r>
  <r>
    <x v="96"/>
    <s v="Pooja"/>
    <x v="2"/>
    <x v="8"/>
    <x v="3"/>
    <s v="Male"/>
    <n v="11"/>
    <n v="425.04"/>
    <n v="628.45000000000005"/>
    <n v="4675.4399999999996"/>
    <n v="6912.95"/>
    <n v="2237.5100000000002"/>
  </r>
  <r>
    <x v="97"/>
    <s v="Neha"/>
    <x v="3"/>
    <x v="11"/>
    <x v="5"/>
    <s v="Male"/>
    <n v="46"/>
    <n v="932.45"/>
    <n v="1188.3"/>
    <n v="42892.7"/>
    <n v="54661.8"/>
    <n v="11769.1"/>
  </r>
  <r>
    <x v="98"/>
    <s v="Vikas"/>
    <x v="3"/>
    <x v="11"/>
    <x v="5"/>
    <s v="Male"/>
    <n v="33"/>
    <n v="793.67"/>
    <n v="1016.57"/>
    <n v="26191.11"/>
    <n v="33546.81"/>
    <n v="7355.7"/>
  </r>
  <r>
    <x v="99"/>
    <s v="Ankit"/>
    <x v="0"/>
    <x v="10"/>
    <x v="1"/>
    <s v="Female"/>
    <n v="1"/>
    <n v="536.26"/>
    <n v="703.99"/>
    <n v="536.26"/>
    <n v="703.99"/>
    <n v="167.73"/>
  </r>
  <r>
    <x v="100"/>
    <s v="Kiran"/>
    <x v="1"/>
    <x v="3"/>
    <x v="3"/>
    <s v="Male"/>
    <n v="32"/>
    <n v="289.18"/>
    <n v="365.84"/>
    <n v="9253.76"/>
    <n v="11706.88"/>
    <n v="2453.12"/>
  </r>
  <r>
    <x v="88"/>
    <s v="Neha"/>
    <x v="2"/>
    <x v="8"/>
    <x v="4"/>
    <s v="Female"/>
    <n v="26"/>
    <n v="743.07"/>
    <n v="1089.06"/>
    <n v="19319.82"/>
    <n v="28315.56"/>
    <n v="8995.74"/>
  </r>
  <r>
    <x v="101"/>
    <s v="Kiran"/>
    <x v="1"/>
    <x v="1"/>
    <x v="2"/>
    <s v="Female"/>
    <n v="17"/>
    <n v="63.15"/>
    <n v="80.58"/>
    <n v="1073.55"/>
    <n v="1369.86"/>
    <n v="296.31"/>
  </r>
  <r>
    <x v="102"/>
    <s v="Neha"/>
    <x v="1"/>
    <x v="1"/>
    <x v="5"/>
    <s v="Female"/>
    <n v="3"/>
    <n v="676.69"/>
    <n v="748.48"/>
    <n v="2030.07"/>
    <n v="2245.44"/>
    <n v="215.37"/>
  </r>
  <r>
    <x v="103"/>
    <s v="Rohit"/>
    <x v="2"/>
    <x v="4"/>
    <x v="0"/>
    <s v="Female"/>
    <n v="42"/>
    <n v="550.05999999999995"/>
    <n v="713.94"/>
    <n v="23102.52"/>
    <n v="29985.48"/>
    <n v="6882.96"/>
  </r>
  <r>
    <x v="104"/>
    <s v="Rohit"/>
    <x v="2"/>
    <x v="4"/>
    <x v="5"/>
    <s v="Male"/>
    <n v="6"/>
    <n v="997.73"/>
    <n v="1257.28"/>
    <n v="5986.38"/>
    <n v="7543.68"/>
    <n v="1557.3"/>
  </r>
  <r>
    <x v="105"/>
    <s v="Vikas"/>
    <x v="1"/>
    <x v="2"/>
    <x v="0"/>
    <s v="Male"/>
    <n v="20"/>
    <n v="282.89999999999998"/>
    <n v="379.84"/>
    <n v="5658"/>
    <n v="7596.8"/>
    <n v="1938.8"/>
  </r>
  <r>
    <x v="106"/>
    <s v="Amit"/>
    <x v="1"/>
    <x v="3"/>
    <x v="0"/>
    <s v="Male"/>
    <n v="49"/>
    <n v="961.36"/>
    <n v="1059.9100000000001"/>
    <n v="47106.64"/>
    <n v="51935.59"/>
    <n v="4828.95"/>
  </r>
  <r>
    <x v="1"/>
    <s v="Priya"/>
    <x v="1"/>
    <x v="2"/>
    <x v="1"/>
    <s v="Female"/>
    <n v="45"/>
    <n v="451.89"/>
    <n v="569.20000000000005"/>
    <n v="20335.05"/>
    <n v="25614"/>
    <n v="5278.95"/>
  </r>
  <r>
    <x v="107"/>
    <s v="Priya"/>
    <x v="3"/>
    <x v="5"/>
    <x v="4"/>
    <s v="Male"/>
    <n v="36"/>
    <n v="397.03"/>
    <n v="496.25"/>
    <n v="14293.08"/>
    <n v="17865"/>
    <n v="3571.92"/>
  </r>
  <r>
    <x v="108"/>
    <s v="Pooja"/>
    <x v="1"/>
    <x v="3"/>
    <x v="2"/>
    <s v="Female"/>
    <n v="14"/>
    <n v="530.64"/>
    <n v="638.70000000000005"/>
    <n v="7428.96"/>
    <n v="8941.7999999999993"/>
    <n v="1512.84"/>
  </r>
  <r>
    <x v="109"/>
    <s v="Rohit"/>
    <x v="3"/>
    <x v="11"/>
    <x v="1"/>
    <s v="Female"/>
    <n v="48"/>
    <n v="942.25"/>
    <n v="1380.63"/>
    <n v="45228"/>
    <n v="66270.240000000005"/>
    <n v="21042.240000000002"/>
  </r>
  <r>
    <x v="110"/>
    <s v="Amit"/>
    <x v="1"/>
    <x v="2"/>
    <x v="3"/>
    <s v="Male"/>
    <n v="25"/>
    <n v="592.92999999999995"/>
    <n v="790.8"/>
    <n v="14823.25"/>
    <n v="19770"/>
    <n v="4946.75"/>
  </r>
  <r>
    <x v="111"/>
    <s v="Sneha"/>
    <x v="0"/>
    <x v="10"/>
    <x v="2"/>
    <s v="Male"/>
    <n v="50"/>
    <n v="390.82"/>
    <n v="545.91"/>
    <n v="19541"/>
    <n v="27295.5"/>
    <n v="7754.5"/>
  </r>
  <r>
    <x v="112"/>
    <s v="Rohit"/>
    <x v="3"/>
    <x v="6"/>
    <x v="1"/>
    <s v="Female"/>
    <n v="33"/>
    <n v="318.41000000000003"/>
    <n v="356.47"/>
    <n v="10507.53"/>
    <n v="11763.51"/>
    <n v="1255.98"/>
  </r>
  <r>
    <x v="113"/>
    <s v="Sneha"/>
    <x v="2"/>
    <x v="7"/>
    <x v="0"/>
    <s v="Female"/>
    <n v="24"/>
    <n v="531.66999999999996"/>
    <n v="652.75"/>
    <n v="12760.08"/>
    <n v="15666"/>
    <n v="2905.92"/>
  </r>
  <r>
    <x v="31"/>
    <s v="Priya"/>
    <x v="0"/>
    <x v="0"/>
    <x v="5"/>
    <s v="Male"/>
    <n v="9"/>
    <n v="612.91"/>
    <n v="913.73"/>
    <n v="5516.19"/>
    <n v="8223.57"/>
    <n v="2707.38"/>
  </r>
  <r>
    <x v="114"/>
    <s v="Sneha"/>
    <x v="1"/>
    <x v="2"/>
    <x v="1"/>
    <s v="Male"/>
    <n v="9"/>
    <n v="877.82"/>
    <n v="1147.58"/>
    <n v="7900.38"/>
    <n v="10328.219999999999"/>
    <n v="2427.84"/>
  </r>
  <r>
    <x v="115"/>
    <s v="Sneha"/>
    <x v="0"/>
    <x v="10"/>
    <x v="1"/>
    <s v="Female"/>
    <n v="7"/>
    <n v="337.17"/>
    <n v="425.3"/>
    <n v="2360.19"/>
    <n v="2977.1"/>
    <n v="616.91"/>
  </r>
  <r>
    <x v="116"/>
    <s v="Pooja"/>
    <x v="3"/>
    <x v="6"/>
    <x v="2"/>
    <s v="Female"/>
    <n v="8"/>
    <n v="495"/>
    <n v="715"/>
    <n v="3960"/>
    <n v="5720"/>
    <n v="1760"/>
  </r>
  <r>
    <x v="117"/>
    <s v="Kiran"/>
    <x v="1"/>
    <x v="1"/>
    <x v="1"/>
    <s v="Male"/>
    <n v="21"/>
    <n v="359.79"/>
    <n v="519.9"/>
    <n v="7555.59"/>
    <n v="10917.9"/>
    <n v="3362.31"/>
  </r>
  <r>
    <x v="118"/>
    <s v="Vikas"/>
    <x v="2"/>
    <x v="4"/>
    <x v="1"/>
    <s v="Female"/>
    <n v="34"/>
    <n v="325.17"/>
    <n v="425.23"/>
    <n v="11055.78"/>
    <n v="14457.82"/>
    <n v="3402.04"/>
  </r>
  <r>
    <x v="81"/>
    <s v="Sneha"/>
    <x v="0"/>
    <x v="10"/>
    <x v="2"/>
    <s v="Male"/>
    <n v="11"/>
    <n v="454.07"/>
    <n v="514.94000000000005"/>
    <n v="4994.7700000000004"/>
    <n v="5664.34"/>
    <n v="669.57"/>
  </r>
  <r>
    <x v="88"/>
    <s v="Vikas"/>
    <x v="1"/>
    <x v="3"/>
    <x v="2"/>
    <s v="Female"/>
    <n v="13"/>
    <n v="199.66"/>
    <n v="226.15"/>
    <n v="2595.58"/>
    <n v="2939.95"/>
    <n v="344.37"/>
  </r>
  <r>
    <x v="65"/>
    <s v="Kiran"/>
    <x v="1"/>
    <x v="2"/>
    <x v="5"/>
    <s v="Female"/>
    <n v="9"/>
    <n v="245.96"/>
    <n v="329.75"/>
    <n v="2213.64"/>
    <n v="2967.75"/>
    <n v="754.11"/>
  </r>
  <r>
    <x v="67"/>
    <s v="Rohit"/>
    <x v="3"/>
    <x v="6"/>
    <x v="2"/>
    <s v="Male"/>
    <n v="41"/>
    <n v="335.24"/>
    <n v="454.74"/>
    <n v="13744.84"/>
    <n v="18644.34"/>
    <n v="4899.5"/>
  </r>
  <r>
    <x v="119"/>
    <s v="Kiran"/>
    <x v="2"/>
    <x v="8"/>
    <x v="3"/>
    <s v="Female"/>
    <n v="40"/>
    <n v="62.97"/>
    <n v="90.26"/>
    <n v="2518.8000000000002"/>
    <n v="3610.4"/>
    <n v="1091.5999999999999"/>
  </r>
  <r>
    <x v="120"/>
    <s v="Neha"/>
    <x v="0"/>
    <x v="0"/>
    <x v="4"/>
    <s v="Female"/>
    <n v="48"/>
    <n v="434.06"/>
    <n v="612.16999999999996"/>
    <n v="20834.88"/>
    <n v="29384.16"/>
    <n v="8549.2800000000007"/>
  </r>
  <r>
    <x v="121"/>
    <s v="Ankit"/>
    <x v="3"/>
    <x v="6"/>
    <x v="5"/>
    <s v="Male"/>
    <n v="17"/>
    <n v="204.05"/>
    <n v="271.10000000000002"/>
    <n v="3468.85"/>
    <n v="4608.7"/>
    <n v="1139.8499999999999"/>
  </r>
  <r>
    <x v="122"/>
    <s v="Amit"/>
    <x v="2"/>
    <x v="8"/>
    <x v="1"/>
    <s v="Male"/>
    <n v="1"/>
    <n v="499.8"/>
    <n v="659.97"/>
    <n v="499.8"/>
    <n v="659.97"/>
    <n v="160.16999999999999"/>
  </r>
  <r>
    <x v="8"/>
    <s v="Priya"/>
    <x v="3"/>
    <x v="5"/>
    <x v="0"/>
    <s v="Female"/>
    <n v="38"/>
    <n v="601.29"/>
    <n v="711.1"/>
    <n v="22849.02"/>
    <n v="27021.8"/>
    <n v="4172.78"/>
  </r>
  <r>
    <x v="12"/>
    <s v="Neha"/>
    <x v="3"/>
    <x v="5"/>
    <x v="0"/>
    <s v="Male"/>
    <n v="27"/>
    <n v="380.87"/>
    <n v="555.59"/>
    <n v="10283.49"/>
    <n v="15000.93"/>
    <n v="4717.4399999999996"/>
  </r>
  <r>
    <x v="123"/>
    <s v="Rohit"/>
    <x v="1"/>
    <x v="3"/>
    <x v="2"/>
    <s v="Male"/>
    <n v="23"/>
    <n v="530.52"/>
    <n v="620.73"/>
    <n v="12201.96"/>
    <n v="14276.79"/>
    <n v="2074.83"/>
  </r>
  <r>
    <x v="52"/>
    <s v="Vikas"/>
    <x v="3"/>
    <x v="11"/>
    <x v="2"/>
    <s v="Male"/>
    <n v="8"/>
    <n v="796.39"/>
    <n v="882.16"/>
    <n v="6371.12"/>
    <n v="7057.28"/>
    <n v="686.16"/>
  </r>
  <r>
    <x v="90"/>
    <s v="Ankit"/>
    <x v="3"/>
    <x v="5"/>
    <x v="5"/>
    <s v="Male"/>
    <n v="32"/>
    <n v="431.41"/>
    <n v="539.49"/>
    <n v="13805.12"/>
    <n v="17263.68"/>
    <n v="3458.56"/>
  </r>
  <r>
    <x v="124"/>
    <s v="Sneha"/>
    <x v="2"/>
    <x v="7"/>
    <x v="4"/>
    <s v="Male"/>
    <n v="21"/>
    <n v="354.51"/>
    <n v="521.19000000000005"/>
    <n v="7444.71"/>
    <n v="10944.99"/>
    <n v="3500.28"/>
  </r>
  <r>
    <x v="125"/>
    <s v="Ankit"/>
    <x v="2"/>
    <x v="4"/>
    <x v="2"/>
    <s v="Female"/>
    <n v="38"/>
    <n v="348.62"/>
    <n v="490.68"/>
    <n v="13247.56"/>
    <n v="18645.84"/>
    <n v="5398.28"/>
  </r>
  <r>
    <x v="126"/>
    <s v="Vikas"/>
    <x v="0"/>
    <x v="0"/>
    <x v="5"/>
    <s v="Female"/>
    <n v="49"/>
    <n v="840.51"/>
    <n v="1247.29"/>
    <n v="41184.99"/>
    <n v="61117.21"/>
    <n v="19932.22"/>
  </r>
  <r>
    <x v="127"/>
    <s v="Pooja"/>
    <x v="2"/>
    <x v="7"/>
    <x v="0"/>
    <s v="Female"/>
    <n v="44"/>
    <n v="294.74"/>
    <n v="421.7"/>
    <n v="12968.56"/>
    <n v="18554.8"/>
    <n v="5586.24"/>
  </r>
  <r>
    <x v="128"/>
    <s v="Sneha"/>
    <x v="1"/>
    <x v="3"/>
    <x v="3"/>
    <s v="Female"/>
    <n v="41"/>
    <n v="500.25"/>
    <n v="723.76"/>
    <n v="20510.25"/>
    <n v="29674.16"/>
    <n v="9163.91"/>
  </r>
  <r>
    <x v="129"/>
    <s v="Amit"/>
    <x v="1"/>
    <x v="2"/>
    <x v="5"/>
    <s v="Male"/>
    <n v="11"/>
    <n v="876.64"/>
    <n v="994.78"/>
    <n v="9643.0400000000009"/>
    <n v="10942.58"/>
    <n v="1299.54"/>
  </r>
  <r>
    <x v="130"/>
    <s v="Kiran"/>
    <x v="2"/>
    <x v="7"/>
    <x v="4"/>
    <s v="Female"/>
    <n v="28"/>
    <n v="764.67"/>
    <n v="1088.8800000000001"/>
    <n v="21410.76"/>
    <n v="30488.639999999999"/>
    <n v="9077.8799999999992"/>
  </r>
  <r>
    <x v="131"/>
    <s v="Priya"/>
    <x v="1"/>
    <x v="3"/>
    <x v="2"/>
    <s v="Male"/>
    <n v="36"/>
    <n v="342.34"/>
    <n v="508.78"/>
    <n v="12324.24"/>
    <n v="18316.080000000002"/>
    <n v="5991.84"/>
  </r>
  <r>
    <x v="10"/>
    <s v="Kiran"/>
    <x v="3"/>
    <x v="5"/>
    <x v="1"/>
    <s v="Female"/>
    <n v="23"/>
    <n v="320"/>
    <n v="415.55"/>
    <n v="7360"/>
    <n v="9557.65"/>
    <n v="2197.65"/>
  </r>
  <r>
    <x v="0"/>
    <s v="Neha"/>
    <x v="2"/>
    <x v="8"/>
    <x v="5"/>
    <s v="Male"/>
    <n v="14"/>
    <n v="724.96"/>
    <n v="1048.51"/>
    <n v="10149.44"/>
    <n v="14679.14"/>
    <n v="4529.7"/>
  </r>
  <r>
    <x v="132"/>
    <s v="Rohit"/>
    <x v="0"/>
    <x v="10"/>
    <x v="1"/>
    <s v="Male"/>
    <n v="43"/>
    <n v="708.16"/>
    <n v="966.85"/>
    <n v="30450.880000000001"/>
    <n v="41574.550000000003"/>
    <n v="11123.67"/>
  </r>
  <r>
    <x v="133"/>
    <s v="Priya"/>
    <x v="3"/>
    <x v="11"/>
    <x v="3"/>
    <s v="Female"/>
    <n v="44"/>
    <n v="169.94"/>
    <n v="216.47"/>
    <n v="7477.36"/>
    <n v="9524.68"/>
    <n v="2047.32"/>
  </r>
  <r>
    <x v="97"/>
    <s v="Priya"/>
    <x v="3"/>
    <x v="11"/>
    <x v="4"/>
    <s v="Male"/>
    <n v="35"/>
    <n v="692.07"/>
    <n v="946.66"/>
    <n v="24222.45"/>
    <n v="33133.1"/>
    <n v="8910.65"/>
  </r>
  <r>
    <x v="134"/>
    <s v="Priya"/>
    <x v="2"/>
    <x v="4"/>
    <x v="1"/>
    <s v="Female"/>
    <n v="45"/>
    <n v="259.43"/>
    <n v="352.7"/>
    <n v="11674.35"/>
    <n v="15871.5"/>
    <n v="4197.1499999999996"/>
  </r>
  <r>
    <x v="135"/>
    <s v="Vikas"/>
    <x v="2"/>
    <x v="4"/>
    <x v="4"/>
    <s v="Female"/>
    <n v="21"/>
    <n v="842.8"/>
    <n v="969.52"/>
    <n v="17698.8"/>
    <n v="20359.919999999998"/>
    <n v="2661.12"/>
  </r>
  <r>
    <x v="136"/>
    <s v="Kiran"/>
    <x v="2"/>
    <x v="4"/>
    <x v="2"/>
    <s v="Male"/>
    <n v="33"/>
    <n v="162.69999999999999"/>
    <n v="240.84"/>
    <n v="5369.1"/>
    <n v="7947.72"/>
    <n v="2578.62"/>
  </r>
  <r>
    <x v="4"/>
    <s v="Priya"/>
    <x v="0"/>
    <x v="10"/>
    <x v="4"/>
    <s v="Male"/>
    <n v="42"/>
    <n v="860.3"/>
    <n v="1144.3399999999999"/>
    <n v="36132.6"/>
    <n v="48062.28"/>
    <n v="11929.68"/>
  </r>
  <r>
    <x v="121"/>
    <s v="Vikas"/>
    <x v="0"/>
    <x v="9"/>
    <x v="1"/>
    <s v="Male"/>
    <n v="19"/>
    <n v="225.44"/>
    <n v="279.22000000000003"/>
    <n v="4283.3599999999997"/>
    <n v="5305.18"/>
    <n v="1021.82"/>
  </r>
  <r>
    <x v="62"/>
    <s v="Kiran"/>
    <x v="0"/>
    <x v="0"/>
    <x v="4"/>
    <s v="Female"/>
    <n v="19"/>
    <n v="554.84"/>
    <n v="796.91"/>
    <n v="10541.96"/>
    <n v="15141.29"/>
    <n v="4599.33"/>
  </r>
  <r>
    <x v="137"/>
    <s v="Ankit"/>
    <x v="0"/>
    <x v="10"/>
    <x v="2"/>
    <s v="Male"/>
    <n v="5"/>
    <n v="943.53"/>
    <n v="1263.67"/>
    <n v="4717.6499999999996"/>
    <n v="6318.35"/>
    <n v="1600.7"/>
  </r>
  <r>
    <x v="0"/>
    <s v="Sneha"/>
    <x v="2"/>
    <x v="7"/>
    <x v="0"/>
    <s v="Male"/>
    <n v="49"/>
    <n v="937.68"/>
    <n v="1301.2"/>
    <n v="45946.32"/>
    <n v="63758.8"/>
    <n v="17812.48"/>
  </r>
  <r>
    <x v="138"/>
    <s v="Priya"/>
    <x v="0"/>
    <x v="9"/>
    <x v="0"/>
    <s v="Female"/>
    <n v="50"/>
    <n v="860.56"/>
    <n v="1226.7"/>
    <n v="43028"/>
    <n v="61335"/>
    <n v="18307"/>
  </r>
  <r>
    <x v="139"/>
    <s v="Kiran"/>
    <x v="1"/>
    <x v="3"/>
    <x v="4"/>
    <s v="Female"/>
    <n v="31"/>
    <n v="526.20000000000005"/>
    <n v="769.06"/>
    <n v="16312.2"/>
    <n v="23840.86"/>
    <n v="7528.66"/>
  </r>
  <r>
    <x v="90"/>
    <s v="Neha"/>
    <x v="0"/>
    <x v="10"/>
    <x v="3"/>
    <s v="Female"/>
    <n v="18"/>
    <n v="450.58"/>
    <n v="621.45000000000005"/>
    <n v="8110.44"/>
    <n v="11186.1"/>
    <n v="3075.66"/>
  </r>
  <r>
    <x v="46"/>
    <s v="Vikas"/>
    <x v="0"/>
    <x v="9"/>
    <x v="0"/>
    <s v="Female"/>
    <n v="36"/>
    <n v="487.71"/>
    <n v="552.58000000000004"/>
    <n v="17557.560000000001"/>
    <n v="19892.88"/>
    <n v="2335.3200000000002"/>
  </r>
  <r>
    <x v="140"/>
    <s v="Kiran"/>
    <x v="2"/>
    <x v="8"/>
    <x v="4"/>
    <s v="Female"/>
    <n v="17"/>
    <n v="446.07"/>
    <n v="502.36"/>
    <n v="7583.19"/>
    <n v="8540.1200000000008"/>
    <n v="956.93"/>
  </r>
  <r>
    <x v="141"/>
    <s v="Neha"/>
    <x v="0"/>
    <x v="9"/>
    <x v="5"/>
    <s v="Female"/>
    <n v="46"/>
    <n v="959.19"/>
    <n v="1061.42"/>
    <n v="44122.74"/>
    <n v="48825.32"/>
    <n v="4702.58"/>
  </r>
  <r>
    <x v="44"/>
    <s v="Amit"/>
    <x v="0"/>
    <x v="9"/>
    <x v="5"/>
    <s v="Female"/>
    <n v="19"/>
    <n v="995.73"/>
    <n v="1229.6300000000001"/>
    <n v="18918.87"/>
    <n v="23362.97"/>
    <n v="4444.1000000000004"/>
  </r>
  <r>
    <x v="142"/>
    <s v="Rahul"/>
    <x v="0"/>
    <x v="10"/>
    <x v="0"/>
    <s v="Male"/>
    <n v="1"/>
    <n v="363.97"/>
    <n v="518.45000000000005"/>
    <n v="363.97"/>
    <n v="518.45000000000005"/>
    <n v="154.47999999999999"/>
  </r>
  <r>
    <x v="143"/>
    <s v="Amit"/>
    <x v="2"/>
    <x v="4"/>
    <x v="4"/>
    <s v="Female"/>
    <n v="2"/>
    <n v="462.1"/>
    <n v="570.16999999999996"/>
    <n v="924.2"/>
    <n v="1140.3399999999999"/>
    <n v="216.14"/>
  </r>
  <r>
    <x v="144"/>
    <s v="Rohit"/>
    <x v="0"/>
    <x v="0"/>
    <x v="0"/>
    <s v="Female"/>
    <n v="48"/>
    <n v="779.1"/>
    <n v="911.9"/>
    <n v="37396.800000000003"/>
    <n v="43771.199999999997"/>
    <n v="6374.4"/>
  </r>
  <r>
    <x v="145"/>
    <s v="Kiran"/>
    <x v="2"/>
    <x v="7"/>
    <x v="2"/>
    <s v="Female"/>
    <n v="22"/>
    <n v="803.56"/>
    <n v="1050.21"/>
    <n v="17678.32"/>
    <n v="23104.62"/>
    <n v="5426.3"/>
  </r>
  <r>
    <x v="146"/>
    <s v="Sneha"/>
    <x v="3"/>
    <x v="5"/>
    <x v="4"/>
    <s v="Male"/>
    <n v="25"/>
    <n v="712.04"/>
    <n v="959.21"/>
    <n v="17801"/>
    <n v="23980.25"/>
    <n v="6179.25"/>
  </r>
  <r>
    <x v="68"/>
    <s v="Neha"/>
    <x v="0"/>
    <x v="0"/>
    <x v="4"/>
    <s v="Male"/>
    <n v="40"/>
    <n v="649.21"/>
    <n v="923.62"/>
    <n v="25968.400000000001"/>
    <n v="36944.800000000003"/>
    <n v="10976.4"/>
  </r>
  <r>
    <x v="61"/>
    <s v="Ankit"/>
    <x v="2"/>
    <x v="7"/>
    <x v="0"/>
    <s v="Male"/>
    <n v="37"/>
    <n v="875.45"/>
    <n v="1040.6199999999999"/>
    <n v="32391.65"/>
    <n v="38502.94"/>
    <n v="6111.29"/>
  </r>
  <r>
    <x v="131"/>
    <s v="Kiran"/>
    <x v="3"/>
    <x v="5"/>
    <x v="0"/>
    <s v="Male"/>
    <n v="10"/>
    <n v="191.29"/>
    <n v="216.46"/>
    <n v="1912.9"/>
    <n v="2164.6"/>
    <n v="251.7"/>
  </r>
  <r>
    <x v="147"/>
    <s v="Rohit"/>
    <x v="2"/>
    <x v="7"/>
    <x v="4"/>
    <s v="Male"/>
    <n v="1"/>
    <n v="899.31"/>
    <n v="1146.7"/>
    <n v="899.31"/>
    <n v="1146.7"/>
    <n v="247.39"/>
  </r>
  <r>
    <x v="148"/>
    <s v="Kiran"/>
    <x v="3"/>
    <x v="6"/>
    <x v="5"/>
    <s v="Female"/>
    <n v="48"/>
    <n v="131.27000000000001"/>
    <n v="195.09"/>
    <n v="6300.96"/>
    <n v="9364.32"/>
    <n v="3063.36"/>
  </r>
  <r>
    <x v="90"/>
    <s v="Sneha"/>
    <x v="2"/>
    <x v="7"/>
    <x v="2"/>
    <s v="Male"/>
    <n v="36"/>
    <n v="374.81"/>
    <n v="434.54"/>
    <n v="13493.16"/>
    <n v="15643.44"/>
    <n v="2150.2800000000002"/>
  </r>
  <r>
    <x v="24"/>
    <s v="Kiran"/>
    <x v="0"/>
    <x v="0"/>
    <x v="1"/>
    <s v="Female"/>
    <n v="15"/>
    <n v="362.6"/>
    <n v="438.98"/>
    <n v="5439"/>
    <n v="6584.7"/>
    <n v="1145.7"/>
  </r>
  <r>
    <x v="149"/>
    <s v="Pooja"/>
    <x v="2"/>
    <x v="7"/>
    <x v="3"/>
    <s v="Male"/>
    <n v="16"/>
    <n v="225.13"/>
    <n v="282.60000000000002"/>
    <n v="3602.08"/>
    <n v="4521.6000000000004"/>
    <n v="919.52"/>
  </r>
  <r>
    <x v="118"/>
    <s v="Vikas"/>
    <x v="2"/>
    <x v="8"/>
    <x v="2"/>
    <s v="Female"/>
    <n v="40"/>
    <n v="470.12"/>
    <n v="672.37"/>
    <n v="18804.8"/>
    <n v="26894.799999999999"/>
    <n v="8090"/>
  </r>
  <r>
    <x v="150"/>
    <s v="Neha"/>
    <x v="1"/>
    <x v="2"/>
    <x v="3"/>
    <s v="Male"/>
    <n v="17"/>
    <n v="594.87"/>
    <n v="867.97"/>
    <n v="10112.790000000001"/>
    <n v="14755.49"/>
    <n v="4642.7"/>
  </r>
  <r>
    <x v="151"/>
    <s v="Rohit"/>
    <x v="2"/>
    <x v="7"/>
    <x v="1"/>
    <s v="Female"/>
    <n v="7"/>
    <n v="267.37"/>
    <n v="374.49"/>
    <n v="1871.59"/>
    <n v="2621.4299999999998"/>
    <n v="749.84"/>
  </r>
  <r>
    <x v="152"/>
    <s v="Rahul"/>
    <x v="0"/>
    <x v="10"/>
    <x v="4"/>
    <s v="Female"/>
    <n v="8"/>
    <n v="531.87"/>
    <n v="603.46"/>
    <n v="4254.96"/>
    <n v="4827.68"/>
    <n v="572.72"/>
  </r>
  <r>
    <x v="153"/>
    <s v="Vikas"/>
    <x v="2"/>
    <x v="7"/>
    <x v="2"/>
    <s v="Male"/>
    <n v="14"/>
    <n v="993.95"/>
    <n v="1176.28"/>
    <n v="13915.3"/>
    <n v="16467.919999999998"/>
    <n v="2552.62"/>
  </r>
  <r>
    <x v="154"/>
    <s v="Neha"/>
    <x v="1"/>
    <x v="1"/>
    <x v="4"/>
    <s v="Female"/>
    <n v="20"/>
    <n v="797.3"/>
    <n v="1146.6400000000001"/>
    <n v="15946"/>
    <n v="22932.799999999999"/>
    <n v="6986.8"/>
  </r>
  <r>
    <x v="155"/>
    <s v="Ankit"/>
    <x v="3"/>
    <x v="6"/>
    <x v="5"/>
    <s v="Male"/>
    <n v="41"/>
    <n v="789.81"/>
    <n v="1089.96"/>
    <n v="32382.21"/>
    <n v="44688.36"/>
    <n v="12306.15"/>
  </r>
  <r>
    <x v="156"/>
    <s v="Pooja"/>
    <x v="2"/>
    <x v="8"/>
    <x v="3"/>
    <s v="Female"/>
    <n v="8"/>
    <n v="95.2"/>
    <n v="138.13"/>
    <n v="761.6"/>
    <n v="1105.04"/>
    <n v="343.44"/>
  </r>
  <r>
    <x v="157"/>
    <s v="Vikas"/>
    <x v="1"/>
    <x v="1"/>
    <x v="4"/>
    <s v="Male"/>
    <n v="13"/>
    <n v="79.900000000000006"/>
    <n v="93.4"/>
    <n v="1038.7"/>
    <n v="1214.2"/>
    <n v="175.5"/>
  </r>
  <r>
    <x v="158"/>
    <s v="Neha"/>
    <x v="0"/>
    <x v="10"/>
    <x v="5"/>
    <s v="Female"/>
    <n v="9"/>
    <n v="123.84"/>
    <n v="168.76"/>
    <n v="1114.56"/>
    <n v="1518.84"/>
    <n v="404.28"/>
  </r>
  <r>
    <x v="53"/>
    <s v="Rohit"/>
    <x v="3"/>
    <x v="5"/>
    <x v="2"/>
    <s v="Female"/>
    <n v="30"/>
    <n v="287.06"/>
    <n v="338.88"/>
    <n v="8611.7999999999993"/>
    <n v="10166.4"/>
    <n v="1554.6"/>
  </r>
  <r>
    <x v="133"/>
    <s v="Amit"/>
    <x v="0"/>
    <x v="9"/>
    <x v="2"/>
    <s v="Male"/>
    <n v="1"/>
    <n v="747.23"/>
    <n v="840.63"/>
    <n v="747.23"/>
    <n v="840.63"/>
    <n v="93.4"/>
  </r>
  <r>
    <x v="159"/>
    <s v="Priya"/>
    <x v="1"/>
    <x v="1"/>
    <x v="2"/>
    <s v="Female"/>
    <n v="16"/>
    <n v="970"/>
    <n v="1199.5999999999999"/>
    <n v="15520"/>
    <n v="19193.599999999999"/>
    <n v="3673.6"/>
  </r>
  <r>
    <x v="160"/>
    <s v="Pooja"/>
    <x v="0"/>
    <x v="0"/>
    <x v="4"/>
    <s v="Male"/>
    <n v="10"/>
    <n v="236.24"/>
    <n v="297.58"/>
    <n v="2362.4"/>
    <n v="2975.8"/>
    <n v="613.4"/>
  </r>
  <r>
    <x v="161"/>
    <s v="Sneha"/>
    <x v="2"/>
    <x v="4"/>
    <x v="5"/>
    <s v="Male"/>
    <n v="42"/>
    <n v="907.09"/>
    <n v="1302.94"/>
    <n v="38097.78"/>
    <n v="54723.48"/>
    <n v="16625.7"/>
  </r>
  <r>
    <x v="14"/>
    <s v="Kiran"/>
    <x v="1"/>
    <x v="3"/>
    <x v="3"/>
    <s v="Male"/>
    <n v="38"/>
    <n v="153.55000000000001"/>
    <n v="176.73"/>
    <n v="5834.9"/>
    <n v="6715.74"/>
    <n v="880.84"/>
  </r>
  <r>
    <x v="12"/>
    <s v="Amit"/>
    <x v="0"/>
    <x v="9"/>
    <x v="5"/>
    <s v="Female"/>
    <n v="28"/>
    <n v="827.69"/>
    <n v="1093.24"/>
    <n v="23175.32"/>
    <n v="30610.720000000001"/>
    <n v="7435.4"/>
  </r>
  <r>
    <x v="54"/>
    <s v="Amit"/>
    <x v="1"/>
    <x v="2"/>
    <x v="5"/>
    <s v="Female"/>
    <n v="10"/>
    <n v="567.4"/>
    <n v="838.27"/>
    <n v="5674"/>
    <n v="8382.7000000000007"/>
    <n v="2708.7"/>
  </r>
  <r>
    <x v="162"/>
    <s v="Rohit"/>
    <x v="1"/>
    <x v="3"/>
    <x v="3"/>
    <s v="Male"/>
    <n v="50"/>
    <n v="203.12"/>
    <n v="281.22000000000003"/>
    <n v="10156"/>
    <n v="14061"/>
    <n v="3905"/>
  </r>
  <r>
    <x v="18"/>
    <s v="Rahul"/>
    <x v="0"/>
    <x v="10"/>
    <x v="1"/>
    <s v="Male"/>
    <n v="7"/>
    <n v="416.58"/>
    <n v="612.20000000000005"/>
    <n v="2916.06"/>
    <n v="4285.3999999999996"/>
    <n v="1369.34"/>
  </r>
  <r>
    <x v="139"/>
    <s v="Vikas"/>
    <x v="2"/>
    <x v="8"/>
    <x v="4"/>
    <s v="Female"/>
    <n v="36"/>
    <n v="130.35"/>
    <n v="178.96"/>
    <n v="4692.6000000000004"/>
    <n v="6442.56"/>
    <n v="1749.96"/>
  </r>
  <r>
    <x v="84"/>
    <s v="Ankit"/>
    <x v="1"/>
    <x v="1"/>
    <x v="4"/>
    <s v="Male"/>
    <n v="8"/>
    <n v="557.54999999999995"/>
    <n v="827.9"/>
    <n v="4460.3999999999996"/>
    <n v="6623.2"/>
    <n v="2162.8000000000002"/>
  </r>
  <r>
    <x v="117"/>
    <s v="Rohit"/>
    <x v="3"/>
    <x v="11"/>
    <x v="2"/>
    <s v="Male"/>
    <n v="2"/>
    <n v="917.48"/>
    <n v="1185.1300000000001"/>
    <n v="1834.96"/>
    <n v="2370.2600000000002"/>
    <n v="535.29999999999995"/>
  </r>
  <r>
    <x v="127"/>
    <s v="Rahul"/>
    <x v="0"/>
    <x v="10"/>
    <x v="2"/>
    <s v="Male"/>
    <n v="27"/>
    <n v="128.18"/>
    <n v="155.69"/>
    <n v="3460.86"/>
    <n v="4203.63"/>
    <n v="742.77"/>
  </r>
  <r>
    <x v="163"/>
    <s v="Sneha"/>
    <x v="0"/>
    <x v="9"/>
    <x v="3"/>
    <s v="Female"/>
    <n v="33"/>
    <n v="863.13"/>
    <n v="1110.82"/>
    <n v="28483.29"/>
    <n v="36657.06"/>
    <n v="8173.77"/>
  </r>
  <r>
    <x v="74"/>
    <s v="Amit"/>
    <x v="2"/>
    <x v="8"/>
    <x v="4"/>
    <s v="Male"/>
    <n v="32"/>
    <n v="80.81"/>
    <n v="107.44"/>
    <n v="2585.92"/>
    <n v="3438.08"/>
    <n v="852.16"/>
  </r>
  <r>
    <x v="164"/>
    <s v="Rahul"/>
    <x v="1"/>
    <x v="1"/>
    <x v="2"/>
    <s v="Female"/>
    <n v="11"/>
    <n v="991.87"/>
    <n v="1101.98"/>
    <n v="10910.57"/>
    <n v="12121.78"/>
    <n v="1211.21"/>
  </r>
  <r>
    <x v="165"/>
    <s v="Sneha"/>
    <x v="2"/>
    <x v="8"/>
    <x v="4"/>
    <s v="Female"/>
    <n v="21"/>
    <n v="188.17"/>
    <n v="253.44"/>
    <n v="3951.57"/>
    <n v="5322.24"/>
    <n v="1370.67"/>
  </r>
  <r>
    <x v="166"/>
    <s v="Ankit"/>
    <x v="0"/>
    <x v="9"/>
    <x v="3"/>
    <s v="Male"/>
    <n v="34"/>
    <n v="871.82"/>
    <n v="1113.1600000000001"/>
    <n v="29641.88"/>
    <n v="37847.440000000002"/>
    <n v="8205.56"/>
  </r>
  <r>
    <x v="167"/>
    <s v="Amit"/>
    <x v="0"/>
    <x v="0"/>
    <x v="2"/>
    <s v="Male"/>
    <n v="28"/>
    <n v="339.99"/>
    <n v="385.54"/>
    <n v="9519.7199999999993"/>
    <n v="10795.12"/>
    <n v="1275.4000000000001"/>
  </r>
  <r>
    <x v="168"/>
    <s v="Neha"/>
    <x v="1"/>
    <x v="2"/>
    <x v="2"/>
    <s v="Male"/>
    <n v="42"/>
    <n v="310.06"/>
    <n v="378.71"/>
    <n v="13022.52"/>
    <n v="15905.82"/>
    <n v="2883.3"/>
  </r>
  <r>
    <x v="169"/>
    <s v="Neha"/>
    <x v="1"/>
    <x v="3"/>
    <x v="1"/>
    <s v="Female"/>
    <n v="20"/>
    <n v="936.31"/>
    <n v="1081.75"/>
    <n v="18726.2"/>
    <n v="21635"/>
    <n v="2908.8"/>
  </r>
  <r>
    <x v="170"/>
    <s v="Rahul"/>
    <x v="1"/>
    <x v="2"/>
    <x v="3"/>
    <s v="Male"/>
    <n v="30"/>
    <n v="608.99"/>
    <n v="684.51"/>
    <n v="18269.7"/>
    <n v="20535.3"/>
    <n v="2265.6"/>
  </r>
  <r>
    <x v="55"/>
    <s v="Kiran"/>
    <x v="1"/>
    <x v="2"/>
    <x v="4"/>
    <s v="Male"/>
    <n v="22"/>
    <n v="88.77"/>
    <n v="101.3"/>
    <n v="1952.94"/>
    <n v="2228.6"/>
    <n v="275.66000000000003"/>
  </r>
  <r>
    <x v="171"/>
    <s v="Rahul"/>
    <x v="2"/>
    <x v="8"/>
    <x v="3"/>
    <s v="Female"/>
    <n v="30"/>
    <n v="776.22"/>
    <n v="1106.93"/>
    <n v="23286.6"/>
    <n v="33207.9"/>
    <n v="9921.2999999999993"/>
  </r>
  <r>
    <x v="172"/>
    <s v="Rohit"/>
    <x v="2"/>
    <x v="7"/>
    <x v="0"/>
    <s v="Male"/>
    <n v="17"/>
    <n v="158.86000000000001"/>
    <n v="216.79"/>
    <n v="2700.62"/>
    <n v="3685.43"/>
    <n v="984.81"/>
  </r>
  <r>
    <x v="173"/>
    <s v="Pooja"/>
    <x v="0"/>
    <x v="10"/>
    <x v="3"/>
    <s v="Male"/>
    <n v="12"/>
    <n v="644.42999999999995"/>
    <n v="760.59"/>
    <n v="7733.16"/>
    <n v="9127.08"/>
    <n v="1393.92"/>
  </r>
  <r>
    <x v="96"/>
    <s v="Rahul"/>
    <x v="0"/>
    <x v="0"/>
    <x v="0"/>
    <s v="Female"/>
    <n v="40"/>
    <n v="153.35"/>
    <n v="211.7"/>
    <n v="6134"/>
    <n v="8468"/>
    <n v="2334"/>
  </r>
  <r>
    <x v="174"/>
    <s v="Amit"/>
    <x v="1"/>
    <x v="3"/>
    <x v="3"/>
    <s v="Male"/>
    <n v="26"/>
    <n v="343.6"/>
    <n v="392.71"/>
    <n v="8933.6"/>
    <n v="10210.459999999999"/>
    <n v="1276.8599999999999"/>
  </r>
  <r>
    <x v="175"/>
    <s v="Amit"/>
    <x v="1"/>
    <x v="2"/>
    <x v="3"/>
    <s v="Male"/>
    <n v="2"/>
    <n v="475.76"/>
    <n v="567.46"/>
    <n v="951.52"/>
    <n v="1134.92"/>
    <n v="183.4"/>
  </r>
  <r>
    <x v="108"/>
    <s v="Neha"/>
    <x v="0"/>
    <x v="0"/>
    <x v="1"/>
    <s v="Male"/>
    <n v="21"/>
    <n v="448.82"/>
    <n v="600.78"/>
    <n v="9425.2199999999993"/>
    <n v="12616.38"/>
    <n v="3191.16"/>
  </r>
  <r>
    <x v="176"/>
    <s v="Sneha"/>
    <x v="2"/>
    <x v="8"/>
    <x v="1"/>
    <s v="Female"/>
    <n v="10"/>
    <n v="428.35"/>
    <n v="506.42"/>
    <n v="4283.5"/>
    <n v="5064.2"/>
    <n v="780.7"/>
  </r>
  <r>
    <x v="41"/>
    <s v="Amit"/>
    <x v="1"/>
    <x v="1"/>
    <x v="2"/>
    <s v="Male"/>
    <n v="49"/>
    <n v="877.78"/>
    <n v="1092.52"/>
    <n v="43011.22"/>
    <n v="53533.48"/>
    <n v="10522.26"/>
  </r>
  <r>
    <x v="56"/>
    <s v="Priya"/>
    <x v="1"/>
    <x v="1"/>
    <x v="2"/>
    <s v="Female"/>
    <n v="40"/>
    <n v="777.81"/>
    <n v="1039.92"/>
    <n v="31112.400000000001"/>
    <n v="41596.800000000003"/>
    <n v="10484.4"/>
  </r>
  <r>
    <x v="177"/>
    <s v="Pooja"/>
    <x v="0"/>
    <x v="10"/>
    <x v="1"/>
    <s v="Male"/>
    <n v="15"/>
    <n v="531.62"/>
    <n v="620.01"/>
    <n v="7974.3"/>
    <n v="9300.15"/>
    <n v="1325.85"/>
  </r>
  <r>
    <x v="0"/>
    <s v="Ankit"/>
    <x v="0"/>
    <x v="0"/>
    <x v="0"/>
    <s v="Female"/>
    <n v="46"/>
    <n v="487.64"/>
    <n v="565.33000000000004"/>
    <n v="22431.439999999999"/>
    <n v="26005.18"/>
    <n v="3573.74"/>
  </r>
  <r>
    <x v="178"/>
    <s v="Kiran"/>
    <x v="3"/>
    <x v="6"/>
    <x v="5"/>
    <s v="Female"/>
    <n v="18"/>
    <n v="470.66"/>
    <n v="609.46"/>
    <n v="8471.8799999999992"/>
    <n v="10970.28"/>
    <n v="2498.4"/>
  </r>
  <r>
    <x v="49"/>
    <s v="Ankit"/>
    <x v="3"/>
    <x v="11"/>
    <x v="0"/>
    <s v="Female"/>
    <n v="38"/>
    <n v="651.78"/>
    <n v="755.58"/>
    <n v="24767.64"/>
    <n v="28712.04"/>
    <n v="3944.4"/>
  </r>
  <r>
    <x v="8"/>
    <s v="Kiran"/>
    <x v="0"/>
    <x v="10"/>
    <x v="1"/>
    <s v="Male"/>
    <n v="34"/>
    <n v="97.95"/>
    <n v="136.93"/>
    <n v="3330.3"/>
    <n v="4655.62"/>
    <n v="1325.32"/>
  </r>
  <r>
    <x v="179"/>
    <s v="Amit"/>
    <x v="0"/>
    <x v="10"/>
    <x v="1"/>
    <s v="Female"/>
    <n v="20"/>
    <n v="294.76"/>
    <n v="426.21"/>
    <n v="5895.2"/>
    <n v="8524.2000000000007"/>
    <n v="2629"/>
  </r>
  <r>
    <x v="137"/>
    <s v="Vikas"/>
    <x v="3"/>
    <x v="6"/>
    <x v="1"/>
    <s v="Female"/>
    <n v="24"/>
    <n v="649.51"/>
    <n v="876.56"/>
    <n v="15588.24"/>
    <n v="21037.439999999999"/>
    <n v="5449.2"/>
  </r>
  <r>
    <x v="108"/>
    <s v="Amit"/>
    <x v="1"/>
    <x v="3"/>
    <x v="2"/>
    <s v="Male"/>
    <n v="11"/>
    <n v="593.87"/>
    <n v="843.45"/>
    <n v="6532.57"/>
    <n v="9277.9500000000007"/>
    <n v="2745.38"/>
  </r>
  <r>
    <x v="180"/>
    <s v="Ankit"/>
    <x v="1"/>
    <x v="3"/>
    <x v="1"/>
    <s v="Female"/>
    <n v="47"/>
    <n v="325.11"/>
    <n v="443.76"/>
    <n v="15280.17"/>
    <n v="20856.72"/>
    <n v="5576.55"/>
  </r>
  <r>
    <x v="138"/>
    <s v="Neha"/>
    <x v="1"/>
    <x v="2"/>
    <x v="3"/>
    <s v="Male"/>
    <n v="21"/>
    <n v="676.86"/>
    <n v="914.96"/>
    <n v="14214.06"/>
    <n v="19214.16"/>
    <n v="5000.1000000000004"/>
  </r>
  <r>
    <x v="73"/>
    <s v="Vikas"/>
    <x v="0"/>
    <x v="10"/>
    <x v="3"/>
    <s v="Male"/>
    <n v="14"/>
    <n v="292.47000000000003"/>
    <n v="373.12"/>
    <n v="4094.58"/>
    <n v="5223.68"/>
    <n v="1129.0999999999999"/>
  </r>
  <r>
    <x v="181"/>
    <s v="Amit"/>
    <x v="1"/>
    <x v="3"/>
    <x v="2"/>
    <s v="Female"/>
    <n v="33"/>
    <n v="224.82"/>
    <n v="331.57"/>
    <n v="7419.06"/>
    <n v="10941.81"/>
    <n v="3522.75"/>
  </r>
  <r>
    <x v="126"/>
    <s v="Sneha"/>
    <x v="3"/>
    <x v="5"/>
    <x v="4"/>
    <s v="Female"/>
    <n v="9"/>
    <n v="411.6"/>
    <n v="523.47"/>
    <n v="3704.4"/>
    <n v="4711.2299999999996"/>
    <n v="1006.83"/>
  </r>
  <r>
    <x v="62"/>
    <s v="Ankit"/>
    <x v="2"/>
    <x v="7"/>
    <x v="2"/>
    <s v="Female"/>
    <n v="45"/>
    <n v="813.54"/>
    <n v="1127.44"/>
    <n v="36609.300000000003"/>
    <n v="50734.8"/>
    <n v="14125.5"/>
  </r>
  <r>
    <x v="182"/>
    <s v="Pooja"/>
    <x v="3"/>
    <x v="11"/>
    <x v="4"/>
    <s v="Male"/>
    <n v="32"/>
    <n v="959.02"/>
    <n v="1058.75"/>
    <n v="30688.639999999999"/>
    <n v="33880"/>
    <n v="3191.36"/>
  </r>
  <r>
    <x v="183"/>
    <s v="Neha"/>
    <x v="2"/>
    <x v="4"/>
    <x v="3"/>
    <s v="Male"/>
    <n v="30"/>
    <n v="127.95"/>
    <n v="147.22999999999999"/>
    <n v="3838.5"/>
    <n v="4416.8999999999996"/>
    <n v="578.4"/>
  </r>
  <r>
    <x v="113"/>
    <s v="Rohit"/>
    <x v="3"/>
    <x v="5"/>
    <x v="2"/>
    <s v="Male"/>
    <n v="15"/>
    <n v="887.95"/>
    <n v="995.06"/>
    <n v="13319.25"/>
    <n v="14925.9"/>
    <n v="1606.65"/>
  </r>
  <r>
    <x v="71"/>
    <s v="Kiran"/>
    <x v="3"/>
    <x v="5"/>
    <x v="0"/>
    <s v="Female"/>
    <n v="29"/>
    <n v="869.58"/>
    <n v="1048.67"/>
    <n v="25217.82"/>
    <n v="30411.43"/>
    <n v="5193.6099999999997"/>
  </r>
  <r>
    <x v="184"/>
    <s v="Vikas"/>
    <x v="0"/>
    <x v="0"/>
    <x v="3"/>
    <s v="Male"/>
    <n v="17"/>
    <n v="643.02"/>
    <n v="805.13"/>
    <n v="10931.34"/>
    <n v="13687.21"/>
    <n v="2755.87"/>
  </r>
  <r>
    <x v="185"/>
    <s v="Rahul"/>
    <x v="1"/>
    <x v="1"/>
    <x v="0"/>
    <s v="Male"/>
    <n v="48"/>
    <n v="87.17"/>
    <n v="107.07"/>
    <n v="4184.16"/>
    <n v="5139.3599999999997"/>
    <n v="955.2"/>
  </r>
  <r>
    <x v="133"/>
    <s v="Rohit"/>
    <x v="1"/>
    <x v="3"/>
    <x v="2"/>
    <s v="Female"/>
    <n v="29"/>
    <n v="116.09"/>
    <n v="152.65"/>
    <n v="3366.61"/>
    <n v="4426.8500000000004"/>
    <n v="1060.24"/>
  </r>
  <r>
    <x v="186"/>
    <s v="Vikas"/>
    <x v="1"/>
    <x v="1"/>
    <x v="5"/>
    <s v="Male"/>
    <n v="26"/>
    <n v="720.42"/>
    <n v="1060.6300000000001"/>
    <n v="18730.919999999998"/>
    <n v="27576.38"/>
    <n v="8845.4599999999991"/>
  </r>
  <r>
    <x v="5"/>
    <s v="Priya"/>
    <x v="1"/>
    <x v="2"/>
    <x v="5"/>
    <s v="Male"/>
    <n v="35"/>
    <n v="54.86"/>
    <n v="62.02"/>
    <n v="1920.1"/>
    <n v="2170.6999999999998"/>
    <n v="250.6"/>
  </r>
  <r>
    <x v="32"/>
    <s v="Pooja"/>
    <x v="0"/>
    <x v="0"/>
    <x v="3"/>
    <s v="Male"/>
    <n v="43"/>
    <n v="914.1"/>
    <n v="1062.3800000000001"/>
    <n v="39306.300000000003"/>
    <n v="45682.34"/>
    <n v="6376.04"/>
  </r>
  <r>
    <x v="73"/>
    <s v="Rahul"/>
    <x v="2"/>
    <x v="7"/>
    <x v="2"/>
    <s v="Male"/>
    <n v="3"/>
    <n v="816.4"/>
    <n v="1029.54"/>
    <n v="2449.1999999999998"/>
    <n v="3088.62"/>
    <n v="639.41999999999996"/>
  </r>
  <r>
    <x v="68"/>
    <s v="Amit"/>
    <x v="0"/>
    <x v="0"/>
    <x v="2"/>
    <s v="Female"/>
    <n v="27"/>
    <n v="785.55"/>
    <n v="892.99"/>
    <n v="21209.85"/>
    <n v="24110.73"/>
    <n v="2900.88"/>
  </r>
  <r>
    <x v="33"/>
    <s v="Neha"/>
    <x v="1"/>
    <x v="2"/>
    <x v="3"/>
    <s v="Male"/>
    <n v="32"/>
    <n v="468.88"/>
    <n v="614.72"/>
    <n v="15004.16"/>
    <n v="19671.04"/>
    <n v="4666.88"/>
  </r>
  <r>
    <x v="187"/>
    <s v="Ankit"/>
    <x v="0"/>
    <x v="9"/>
    <x v="3"/>
    <s v="Male"/>
    <n v="40"/>
    <n v="149.77000000000001"/>
    <n v="185.79"/>
    <n v="5990.8"/>
    <n v="7431.6"/>
    <n v="1440.8"/>
  </r>
  <r>
    <x v="140"/>
    <s v="Rahul"/>
    <x v="0"/>
    <x v="0"/>
    <x v="0"/>
    <s v="Female"/>
    <n v="18"/>
    <n v="287.57"/>
    <n v="359.07"/>
    <n v="5176.26"/>
    <n v="6463.26"/>
    <n v="1287"/>
  </r>
  <r>
    <x v="14"/>
    <s v="Vikas"/>
    <x v="0"/>
    <x v="0"/>
    <x v="3"/>
    <s v="Male"/>
    <n v="50"/>
    <n v="583.47"/>
    <n v="695.2"/>
    <n v="29173.5"/>
    <n v="34760"/>
    <n v="5586.5"/>
  </r>
  <r>
    <x v="137"/>
    <s v="Kiran"/>
    <x v="2"/>
    <x v="8"/>
    <x v="0"/>
    <s v="Female"/>
    <n v="34"/>
    <n v="948.18"/>
    <n v="1241.27"/>
    <n v="32238.12"/>
    <n v="42203.18"/>
    <n v="9965.06"/>
  </r>
  <r>
    <x v="156"/>
    <s v="Neha"/>
    <x v="1"/>
    <x v="1"/>
    <x v="3"/>
    <s v="Male"/>
    <n v="37"/>
    <n v="135.18"/>
    <n v="160.52000000000001"/>
    <n v="5001.66"/>
    <n v="5939.24"/>
    <n v="937.58"/>
  </r>
  <r>
    <x v="10"/>
    <s v="Sneha"/>
    <x v="3"/>
    <x v="11"/>
    <x v="3"/>
    <s v="Female"/>
    <n v="2"/>
    <n v="587.42999999999995"/>
    <n v="809.71"/>
    <n v="1174.8599999999999"/>
    <n v="1619.42"/>
    <n v="444.56"/>
  </r>
  <r>
    <x v="166"/>
    <s v="Ankit"/>
    <x v="1"/>
    <x v="3"/>
    <x v="4"/>
    <s v="Female"/>
    <n v="36"/>
    <n v="699.27"/>
    <n v="770.53"/>
    <n v="25173.72"/>
    <n v="27739.08"/>
    <n v="2565.36"/>
  </r>
  <r>
    <x v="97"/>
    <s v="Rahul"/>
    <x v="3"/>
    <x v="6"/>
    <x v="3"/>
    <s v="Female"/>
    <n v="26"/>
    <n v="205.69"/>
    <n v="230.24"/>
    <n v="5347.94"/>
    <n v="5986.24"/>
    <n v="638.29999999999995"/>
  </r>
  <r>
    <x v="183"/>
    <s v="Neha"/>
    <x v="3"/>
    <x v="11"/>
    <x v="5"/>
    <s v="Male"/>
    <n v="23"/>
    <n v="333.66"/>
    <n v="454.88"/>
    <n v="7674.18"/>
    <n v="10462.24"/>
    <n v="2788.06"/>
  </r>
  <r>
    <x v="153"/>
    <s v="Sneha"/>
    <x v="3"/>
    <x v="11"/>
    <x v="0"/>
    <s v="Male"/>
    <n v="24"/>
    <n v="699.67"/>
    <n v="1033.42"/>
    <n v="16792.080000000002"/>
    <n v="24802.080000000002"/>
    <n v="8010"/>
  </r>
  <r>
    <x v="188"/>
    <s v="Neha"/>
    <x v="2"/>
    <x v="4"/>
    <x v="5"/>
    <s v="Male"/>
    <n v="1"/>
    <n v="581.1"/>
    <n v="746.47"/>
    <n v="581.1"/>
    <n v="746.47"/>
    <n v="165.37"/>
  </r>
  <r>
    <x v="189"/>
    <s v="Vikas"/>
    <x v="3"/>
    <x v="6"/>
    <x v="4"/>
    <s v="Female"/>
    <n v="12"/>
    <n v="102.78"/>
    <n v="124.79"/>
    <n v="1233.3599999999999"/>
    <n v="1497.48"/>
    <n v="264.12"/>
  </r>
  <r>
    <x v="29"/>
    <s v="Pooja"/>
    <x v="2"/>
    <x v="4"/>
    <x v="5"/>
    <s v="Female"/>
    <n v="46"/>
    <n v="445.23"/>
    <n v="569.41999999999996"/>
    <n v="20480.580000000002"/>
    <n v="26193.32"/>
    <n v="5712.74"/>
  </r>
  <r>
    <x v="190"/>
    <s v="Kiran"/>
    <x v="2"/>
    <x v="7"/>
    <x v="5"/>
    <s v="Male"/>
    <n v="38"/>
    <n v="498.95"/>
    <n v="648.22"/>
    <n v="18960.099999999999"/>
    <n v="24632.36"/>
    <n v="5672.26"/>
  </r>
  <r>
    <x v="191"/>
    <s v="Priya"/>
    <x v="1"/>
    <x v="1"/>
    <x v="0"/>
    <s v="Male"/>
    <n v="16"/>
    <n v="996.99"/>
    <n v="1374.28"/>
    <n v="15951.84"/>
    <n v="21988.48"/>
    <n v="6036.64"/>
  </r>
  <r>
    <x v="192"/>
    <s v="Rohit"/>
    <x v="1"/>
    <x v="3"/>
    <x v="5"/>
    <s v="Male"/>
    <n v="29"/>
    <n v="281.22000000000003"/>
    <n v="311.89999999999998"/>
    <n v="8155.38"/>
    <n v="9045.1"/>
    <n v="889.72"/>
  </r>
  <r>
    <x v="192"/>
    <s v="Vikas"/>
    <x v="2"/>
    <x v="7"/>
    <x v="4"/>
    <s v="Female"/>
    <n v="31"/>
    <n v="982.36"/>
    <n v="1452.12"/>
    <n v="30453.16"/>
    <n v="45015.72"/>
    <n v="14562.56"/>
  </r>
  <r>
    <x v="193"/>
    <s v="Neha"/>
    <x v="3"/>
    <x v="5"/>
    <x v="3"/>
    <s v="Female"/>
    <n v="45"/>
    <n v="836.38"/>
    <n v="944.66"/>
    <n v="37637.1"/>
    <n v="42509.7"/>
    <n v="4872.6000000000004"/>
  </r>
  <r>
    <x v="194"/>
    <s v="Vikas"/>
    <x v="3"/>
    <x v="11"/>
    <x v="0"/>
    <s v="Male"/>
    <n v="27"/>
    <n v="477.04"/>
    <n v="705.01"/>
    <n v="12880.08"/>
    <n v="19035.27"/>
    <n v="6155.19"/>
  </r>
  <r>
    <x v="195"/>
    <s v="Priya"/>
    <x v="0"/>
    <x v="9"/>
    <x v="2"/>
    <s v="Female"/>
    <n v="21"/>
    <n v="213.84"/>
    <n v="259.05"/>
    <n v="4490.6400000000003"/>
    <n v="5440.05"/>
    <n v="949.41"/>
  </r>
  <r>
    <x v="196"/>
    <s v="Vikas"/>
    <x v="1"/>
    <x v="2"/>
    <x v="0"/>
    <s v="Female"/>
    <n v="34"/>
    <n v="974.43"/>
    <n v="1367.38"/>
    <n v="33130.620000000003"/>
    <n v="46490.92"/>
    <n v="13360.3"/>
  </r>
  <r>
    <x v="11"/>
    <s v="Sneha"/>
    <x v="3"/>
    <x v="5"/>
    <x v="2"/>
    <s v="Male"/>
    <n v="43"/>
    <n v="89.04"/>
    <n v="98.63"/>
    <n v="3828.72"/>
    <n v="4241.09"/>
    <n v="412.37"/>
  </r>
  <r>
    <x v="191"/>
    <s v="Kiran"/>
    <x v="0"/>
    <x v="0"/>
    <x v="1"/>
    <s v="Female"/>
    <n v="38"/>
    <n v="644.1"/>
    <n v="947.44"/>
    <n v="24475.8"/>
    <n v="36002.720000000001"/>
    <n v="11526.92"/>
  </r>
  <r>
    <x v="63"/>
    <s v="Priya"/>
    <x v="3"/>
    <x v="5"/>
    <x v="5"/>
    <s v="Male"/>
    <n v="2"/>
    <n v="509.2"/>
    <n v="578.78"/>
    <n v="1018.4"/>
    <n v="1157.56"/>
    <n v="139.16"/>
  </r>
  <r>
    <x v="69"/>
    <s v="Sneha"/>
    <x v="0"/>
    <x v="9"/>
    <x v="1"/>
    <s v="Male"/>
    <n v="19"/>
    <n v="513.70000000000005"/>
    <n v="573.5"/>
    <n v="9760.2999999999993"/>
    <n v="10896.5"/>
    <n v="1136.2"/>
  </r>
  <r>
    <x v="35"/>
    <s v="Vikas"/>
    <x v="0"/>
    <x v="0"/>
    <x v="0"/>
    <s v="Male"/>
    <n v="13"/>
    <n v="921.59"/>
    <n v="1021.89"/>
    <n v="11980.67"/>
    <n v="13284.57"/>
    <n v="1303.9000000000001"/>
  </r>
  <r>
    <x v="162"/>
    <s v="Neha"/>
    <x v="2"/>
    <x v="7"/>
    <x v="4"/>
    <s v="Female"/>
    <n v="47"/>
    <n v="113.08"/>
    <n v="152.46"/>
    <n v="5314.76"/>
    <n v="7165.62"/>
    <n v="1850.86"/>
  </r>
  <r>
    <x v="107"/>
    <s v="Rahul"/>
    <x v="0"/>
    <x v="10"/>
    <x v="2"/>
    <s v="Male"/>
    <n v="25"/>
    <n v="592.44000000000005"/>
    <n v="858.32"/>
    <n v="14811"/>
    <n v="21458"/>
    <n v="6647"/>
  </r>
  <r>
    <x v="197"/>
    <s v="Amit"/>
    <x v="0"/>
    <x v="9"/>
    <x v="0"/>
    <s v="Male"/>
    <n v="22"/>
    <n v="917.35"/>
    <n v="1147.77"/>
    <n v="20181.7"/>
    <n v="25250.94"/>
    <n v="5069.24"/>
  </r>
  <r>
    <x v="41"/>
    <s v="Priya"/>
    <x v="3"/>
    <x v="5"/>
    <x v="4"/>
    <s v="Female"/>
    <n v="16"/>
    <n v="783.11"/>
    <n v="1002.89"/>
    <n v="12529.76"/>
    <n v="16046.24"/>
    <n v="3516.48"/>
  </r>
  <r>
    <x v="198"/>
    <s v="Ankit"/>
    <x v="1"/>
    <x v="2"/>
    <x v="5"/>
    <s v="Male"/>
    <n v="17"/>
    <n v="930.07"/>
    <n v="1245.69"/>
    <n v="15811.19"/>
    <n v="21176.73"/>
    <n v="5365.54"/>
  </r>
  <r>
    <x v="112"/>
    <s v="Neha"/>
    <x v="2"/>
    <x v="4"/>
    <x v="0"/>
    <s v="Female"/>
    <n v="33"/>
    <n v="248.36"/>
    <n v="315.02"/>
    <n v="8195.8799999999992"/>
    <n v="10395.66"/>
    <n v="2199.7800000000002"/>
  </r>
  <r>
    <x v="199"/>
    <s v="Pooja"/>
    <x v="0"/>
    <x v="0"/>
    <x v="1"/>
    <s v="Male"/>
    <n v="35"/>
    <n v="911.36"/>
    <n v="1036.1300000000001"/>
    <n v="31897.599999999999"/>
    <n v="36264.550000000003"/>
    <n v="4366.95"/>
  </r>
  <r>
    <x v="200"/>
    <s v="Rahul"/>
    <x v="1"/>
    <x v="2"/>
    <x v="3"/>
    <s v="Female"/>
    <n v="21"/>
    <n v="329.35"/>
    <n v="398.94"/>
    <n v="6916.35"/>
    <n v="8377.74"/>
    <n v="1461.39"/>
  </r>
  <r>
    <x v="169"/>
    <s v="Vikas"/>
    <x v="0"/>
    <x v="9"/>
    <x v="1"/>
    <s v="Male"/>
    <n v="9"/>
    <n v="439.34"/>
    <n v="569.27"/>
    <n v="3954.06"/>
    <n v="5123.43"/>
    <n v="1169.3699999999999"/>
  </r>
  <r>
    <x v="165"/>
    <s v="Vikas"/>
    <x v="1"/>
    <x v="1"/>
    <x v="1"/>
    <s v="Male"/>
    <n v="45"/>
    <n v="411.21"/>
    <n v="459.02"/>
    <n v="18504.45"/>
    <n v="20655.900000000001"/>
    <n v="2151.4499999999998"/>
  </r>
  <r>
    <x v="10"/>
    <s v="Neha"/>
    <x v="0"/>
    <x v="10"/>
    <x v="5"/>
    <s v="Male"/>
    <n v="35"/>
    <n v="884.9"/>
    <n v="1047.45"/>
    <n v="30971.5"/>
    <n v="36660.75"/>
    <n v="5689.25"/>
  </r>
  <r>
    <x v="201"/>
    <s v="Pooja"/>
    <x v="2"/>
    <x v="8"/>
    <x v="4"/>
    <s v="Female"/>
    <n v="17"/>
    <n v="108.87"/>
    <n v="135.4"/>
    <n v="1850.79"/>
    <n v="2301.8000000000002"/>
    <n v="451.01"/>
  </r>
  <r>
    <x v="89"/>
    <s v="Amit"/>
    <x v="1"/>
    <x v="1"/>
    <x v="2"/>
    <s v="Female"/>
    <n v="20"/>
    <n v="976.88"/>
    <n v="1212.71"/>
    <n v="19537.599999999999"/>
    <n v="24254.2"/>
    <n v="4716.6000000000004"/>
  </r>
  <r>
    <x v="49"/>
    <s v="Vikas"/>
    <x v="3"/>
    <x v="5"/>
    <x v="1"/>
    <s v="Female"/>
    <n v="42"/>
    <n v="730.2"/>
    <n v="859.1"/>
    <n v="30668.400000000001"/>
    <n v="36082.199999999997"/>
    <n v="5413.8"/>
  </r>
  <r>
    <x v="25"/>
    <s v="Vikas"/>
    <x v="3"/>
    <x v="6"/>
    <x v="3"/>
    <s v="Male"/>
    <n v="2"/>
    <n v="914.4"/>
    <n v="1118.32"/>
    <n v="1828.8"/>
    <n v="2236.64"/>
    <n v="407.84"/>
  </r>
  <r>
    <x v="109"/>
    <s v="Ankit"/>
    <x v="2"/>
    <x v="4"/>
    <x v="3"/>
    <s v="Male"/>
    <n v="48"/>
    <n v="306.7"/>
    <n v="433.01"/>
    <n v="14721.6"/>
    <n v="20784.48"/>
    <n v="6062.88"/>
  </r>
  <r>
    <x v="44"/>
    <s v="Neha"/>
    <x v="0"/>
    <x v="0"/>
    <x v="4"/>
    <s v="Female"/>
    <n v="14"/>
    <n v="382.13"/>
    <n v="519.05999999999995"/>
    <n v="5349.82"/>
    <n v="7266.84"/>
    <n v="1917.02"/>
  </r>
  <r>
    <x v="43"/>
    <s v="Pooja"/>
    <x v="3"/>
    <x v="11"/>
    <x v="2"/>
    <s v="Female"/>
    <n v="25"/>
    <n v="574.11"/>
    <n v="786.46"/>
    <n v="14352.75"/>
    <n v="19661.5"/>
    <n v="5308.75"/>
  </r>
  <r>
    <x v="202"/>
    <s v="Kiran"/>
    <x v="3"/>
    <x v="11"/>
    <x v="2"/>
    <s v="Male"/>
    <n v="11"/>
    <n v="492.33"/>
    <n v="672.19"/>
    <n v="5415.63"/>
    <n v="7394.09"/>
    <n v="1978.46"/>
  </r>
  <r>
    <x v="69"/>
    <s v="Neha"/>
    <x v="2"/>
    <x v="8"/>
    <x v="3"/>
    <s v="Male"/>
    <n v="1"/>
    <n v="651.87"/>
    <n v="976.69"/>
    <n v="651.87"/>
    <n v="976.69"/>
    <n v="324.82"/>
  </r>
  <r>
    <x v="127"/>
    <s v="Sneha"/>
    <x v="2"/>
    <x v="8"/>
    <x v="3"/>
    <s v="Male"/>
    <n v="40"/>
    <n v="624.25"/>
    <n v="714.33"/>
    <n v="24970"/>
    <n v="28573.200000000001"/>
    <n v="3603.2"/>
  </r>
  <r>
    <x v="203"/>
    <s v="Rahul"/>
    <x v="1"/>
    <x v="3"/>
    <x v="5"/>
    <s v="Female"/>
    <n v="8"/>
    <n v="511.02"/>
    <n v="615.74"/>
    <n v="4088.16"/>
    <n v="4925.92"/>
    <n v="837.76"/>
  </r>
  <r>
    <x v="12"/>
    <s v="Rohit"/>
    <x v="0"/>
    <x v="9"/>
    <x v="5"/>
    <s v="Female"/>
    <n v="13"/>
    <n v="331.09"/>
    <n v="474.81"/>
    <n v="4304.17"/>
    <n v="6172.53"/>
    <n v="1868.36"/>
  </r>
  <r>
    <x v="204"/>
    <s v="Neha"/>
    <x v="2"/>
    <x v="7"/>
    <x v="0"/>
    <s v="Male"/>
    <n v="4"/>
    <n v="968.39"/>
    <n v="1152.8599999999999"/>
    <n v="3873.56"/>
    <n v="4611.4399999999996"/>
    <n v="737.88"/>
  </r>
  <r>
    <x v="205"/>
    <s v="Neha"/>
    <x v="0"/>
    <x v="0"/>
    <x v="4"/>
    <s v="Female"/>
    <n v="7"/>
    <n v="899.34"/>
    <n v="1334.5"/>
    <n v="6295.38"/>
    <n v="9341.5"/>
    <n v="3046.12"/>
  </r>
  <r>
    <x v="206"/>
    <s v="Rohit"/>
    <x v="2"/>
    <x v="7"/>
    <x v="5"/>
    <s v="Female"/>
    <n v="39"/>
    <n v="536.29"/>
    <n v="706.94"/>
    <n v="20915.310000000001"/>
    <n v="27570.66"/>
    <n v="6655.35"/>
  </r>
  <r>
    <x v="207"/>
    <s v="Neha"/>
    <x v="0"/>
    <x v="10"/>
    <x v="3"/>
    <s v="Male"/>
    <n v="5"/>
    <n v="655.9"/>
    <n v="825.29"/>
    <n v="3279.5"/>
    <n v="4126.45"/>
    <n v="846.95"/>
  </r>
  <r>
    <x v="40"/>
    <s v="Neha"/>
    <x v="2"/>
    <x v="7"/>
    <x v="2"/>
    <s v="Female"/>
    <n v="4"/>
    <n v="537.27"/>
    <n v="670.46"/>
    <n v="2149.08"/>
    <n v="2681.84"/>
    <n v="532.76"/>
  </r>
  <r>
    <x v="208"/>
    <s v="Vikas"/>
    <x v="0"/>
    <x v="0"/>
    <x v="5"/>
    <s v="Female"/>
    <n v="10"/>
    <n v="740.7"/>
    <n v="1055.58"/>
    <n v="7407"/>
    <n v="10555.8"/>
    <n v="3148.8"/>
  </r>
  <r>
    <x v="73"/>
    <s v="Sneha"/>
    <x v="2"/>
    <x v="4"/>
    <x v="1"/>
    <s v="Male"/>
    <n v="42"/>
    <n v="772.01"/>
    <n v="1058.1300000000001"/>
    <n v="32424.42"/>
    <n v="44441.46"/>
    <n v="12017.04"/>
  </r>
  <r>
    <x v="205"/>
    <s v="Rahul"/>
    <x v="2"/>
    <x v="8"/>
    <x v="1"/>
    <s v="Female"/>
    <n v="15"/>
    <n v="78.430000000000007"/>
    <n v="98.31"/>
    <n v="1176.45"/>
    <n v="1474.65"/>
    <n v="298.2"/>
  </r>
  <r>
    <x v="61"/>
    <s v="Kiran"/>
    <x v="3"/>
    <x v="11"/>
    <x v="3"/>
    <s v="Male"/>
    <n v="38"/>
    <n v="636.39"/>
    <n v="818.73"/>
    <n v="24182.82"/>
    <n v="31111.74"/>
    <n v="6928.92"/>
  </r>
  <r>
    <x v="209"/>
    <s v="Rahul"/>
    <x v="0"/>
    <x v="10"/>
    <x v="2"/>
    <s v="Male"/>
    <n v="2"/>
    <n v="639.89"/>
    <n v="933.51"/>
    <n v="1279.78"/>
    <n v="1867.02"/>
    <n v="587.24"/>
  </r>
  <r>
    <x v="8"/>
    <s v="Rahul"/>
    <x v="0"/>
    <x v="9"/>
    <x v="1"/>
    <s v="Male"/>
    <n v="43"/>
    <n v="71.819999999999993"/>
    <n v="100.91"/>
    <n v="3088.26"/>
    <n v="4339.13"/>
    <n v="1250.8699999999999"/>
  </r>
  <r>
    <x v="164"/>
    <s v="Vikas"/>
    <x v="0"/>
    <x v="10"/>
    <x v="0"/>
    <s v="Female"/>
    <n v="36"/>
    <n v="349.91"/>
    <n v="503.74"/>
    <n v="12596.76"/>
    <n v="18134.64"/>
    <n v="5537.88"/>
  </r>
  <r>
    <x v="210"/>
    <s v="Neha"/>
    <x v="0"/>
    <x v="10"/>
    <x v="3"/>
    <s v="Male"/>
    <n v="37"/>
    <n v="737.67"/>
    <n v="1100.77"/>
    <n v="27293.79"/>
    <n v="40728.49"/>
    <n v="13434.7"/>
  </r>
  <r>
    <x v="20"/>
    <s v="Kiran"/>
    <x v="2"/>
    <x v="8"/>
    <x v="0"/>
    <s v="Female"/>
    <n v="40"/>
    <n v="718.81"/>
    <n v="1055.8900000000001"/>
    <n v="28752.400000000001"/>
    <n v="42235.6"/>
    <n v="13483.2"/>
  </r>
  <r>
    <x v="211"/>
    <s v="Kiran"/>
    <x v="1"/>
    <x v="1"/>
    <x v="5"/>
    <s v="Female"/>
    <n v="40"/>
    <n v="854"/>
    <n v="1260.6300000000001"/>
    <n v="34160"/>
    <n v="50425.2"/>
    <n v="16265.2"/>
  </r>
  <r>
    <x v="212"/>
    <s v="Rahul"/>
    <x v="2"/>
    <x v="4"/>
    <x v="5"/>
    <s v="Female"/>
    <n v="35"/>
    <n v="964.54"/>
    <n v="1089.52"/>
    <n v="33758.9"/>
    <n v="38133.199999999997"/>
    <n v="4374.3"/>
  </r>
  <r>
    <x v="213"/>
    <s v="Ankit"/>
    <x v="0"/>
    <x v="0"/>
    <x v="0"/>
    <s v="Male"/>
    <n v="30"/>
    <n v="81.11"/>
    <n v="93.77"/>
    <n v="2433.3000000000002"/>
    <n v="2813.1"/>
    <n v="379.8"/>
  </r>
  <r>
    <x v="172"/>
    <s v="Pooja"/>
    <x v="1"/>
    <x v="2"/>
    <x v="0"/>
    <s v="Male"/>
    <n v="27"/>
    <n v="452.27"/>
    <n v="543.30999999999995"/>
    <n v="12211.29"/>
    <n v="14669.37"/>
    <n v="2458.08"/>
  </r>
  <r>
    <x v="214"/>
    <s v="Priya"/>
    <x v="2"/>
    <x v="4"/>
    <x v="2"/>
    <s v="Female"/>
    <n v="26"/>
    <n v="344.12"/>
    <n v="475.85"/>
    <n v="8947.1200000000008"/>
    <n v="12372.1"/>
    <n v="3424.98"/>
  </r>
  <r>
    <x v="215"/>
    <s v="Amit"/>
    <x v="0"/>
    <x v="0"/>
    <x v="3"/>
    <s v="Female"/>
    <n v="18"/>
    <n v="56.58"/>
    <n v="70.150000000000006"/>
    <n v="1018.44"/>
    <n v="1262.7"/>
    <n v="244.26"/>
  </r>
  <r>
    <x v="68"/>
    <s v="Vikas"/>
    <x v="3"/>
    <x v="6"/>
    <x v="4"/>
    <s v="Female"/>
    <n v="5"/>
    <n v="331.89"/>
    <n v="483.36"/>
    <n v="1659.45"/>
    <n v="2416.8000000000002"/>
    <n v="757.35"/>
  </r>
  <r>
    <x v="73"/>
    <s v="Pooja"/>
    <x v="3"/>
    <x v="5"/>
    <x v="4"/>
    <s v="Female"/>
    <n v="46"/>
    <n v="407.88"/>
    <n v="542.65"/>
    <n v="18762.48"/>
    <n v="24961.9"/>
    <n v="6199.42"/>
  </r>
  <r>
    <x v="132"/>
    <s v="Rahul"/>
    <x v="2"/>
    <x v="4"/>
    <x v="4"/>
    <s v="Male"/>
    <n v="6"/>
    <n v="477.97"/>
    <n v="580.04999999999995"/>
    <n v="2867.82"/>
    <n v="3480.3"/>
    <n v="612.48"/>
  </r>
  <r>
    <x v="196"/>
    <s v="Rahul"/>
    <x v="3"/>
    <x v="11"/>
    <x v="0"/>
    <s v="Male"/>
    <n v="38"/>
    <n v="669.98"/>
    <n v="914.14"/>
    <n v="25459.24"/>
    <n v="34737.32"/>
    <n v="9278.08"/>
  </r>
  <r>
    <x v="216"/>
    <s v="Kiran"/>
    <x v="1"/>
    <x v="3"/>
    <x v="3"/>
    <s v="Male"/>
    <n v="29"/>
    <n v="114.85"/>
    <n v="137.97"/>
    <n v="3330.65"/>
    <n v="4001.13"/>
    <n v="670.48"/>
  </r>
  <r>
    <x v="217"/>
    <s v="Kiran"/>
    <x v="2"/>
    <x v="4"/>
    <x v="2"/>
    <s v="Male"/>
    <n v="29"/>
    <n v="840.26"/>
    <n v="1241.55"/>
    <n v="24367.54"/>
    <n v="36004.949999999997"/>
    <n v="11637.41"/>
  </r>
  <r>
    <x v="132"/>
    <s v="Neha"/>
    <x v="1"/>
    <x v="2"/>
    <x v="5"/>
    <s v="Male"/>
    <n v="48"/>
    <n v="191.29"/>
    <n v="219.12"/>
    <n v="9181.92"/>
    <n v="10517.76"/>
    <n v="1335.84"/>
  </r>
  <r>
    <x v="204"/>
    <s v="Amit"/>
    <x v="1"/>
    <x v="1"/>
    <x v="5"/>
    <s v="Male"/>
    <n v="23"/>
    <n v="85.35"/>
    <n v="95.22"/>
    <n v="1963.05"/>
    <n v="2190.06"/>
    <n v="227.01"/>
  </r>
  <r>
    <x v="64"/>
    <s v="Rahul"/>
    <x v="3"/>
    <x v="6"/>
    <x v="4"/>
    <s v="Male"/>
    <n v="25"/>
    <n v="749.62"/>
    <n v="836.46"/>
    <n v="18740.5"/>
    <n v="20911.5"/>
    <n v="2171"/>
  </r>
  <r>
    <x v="61"/>
    <s v="Sneha"/>
    <x v="2"/>
    <x v="4"/>
    <x v="0"/>
    <s v="Male"/>
    <n v="34"/>
    <n v="684.86"/>
    <n v="912.82"/>
    <n v="23285.24"/>
    <n v="31035.88"/>
    <n v="7750.64"/>
  </r>
  <r>
    <x v="150"/>
    <s v="Pooja"/>
    <x v="3"/>
    <x v="6"/>
    <x v="3"/>
    <s v="Female"/>
    <n v="24"/>
    <n v="822.76"/>
    <n v="1215.4000000000001"/>
    <n v="19746.240000000002"/>
    <n v="29169.599999999999"/>
    <n v="9423.36"/>
  </r>
  <r>
    <x v="218"/>
    <s v="Vikas"/>
    <x v="3"/>
    <x v="11"/>
    <x v="4"/>
    <s v="Female"/>
    <n v="2"/>
    <n v="634.46"/>
    <n v="807.06"/>
    <n v="1268.92"/>
    <n v="1614.12"/>
    <n v="345.2"/>
  </r>
  <r>
    <x v="103"/>
    <s v="Vikas"/>
    <x v="1"/>
    <x v="1"/>
    <x v="4"/>
    <s v="Female"/>
    <n v="35"/>
    <n v="811.22"/>
    <n v="901.76"/>
    <n v="28392.7"/>
    <n v="31561.599999999999"/>
    <n v="3168.9"/>
  </r>
  <r>
    <x v="148"/>
    <s v="Neha"/>
    <x v="1"/>
    <x v="3"/>
    <x v="5"/>
    <s v="Male"/>
    <n v="23"/>
    <n v="752.13"/>
    <n v="1034.49"/>
    <n v="17298.990000000002"/>
    <n v="23793.27"/>
    <n v="6494.28"/>
  </r>
  <r>
    <x v="219"/>
    <s v="Pooja"/>
    <x v="1"/>
    <x v="3"/>
    <x v="0"/>
    <s v="Male"/>
    <n v="37"/>
    <n v="469.35"/>
    <n v="547.66999999999996"/>
    <n v="17365.95"/>
    <n v="20263.79"/>
    <n v="2897.84"/>
  </r>
  <r>
    <x v="72"/>
    <s v="Neha"/>
    <x v="2"/>
    <x v="7"/>
    <x v="2"/>
    <s v="Female"/>
    <n v="30"/>
    <n v="882.17"/>
    <n v="1081.29"/>
    <n v="26465.1"/>
    <n v="32438.7"/>
    <n v="5973.6"/>
  </r>
  <r>
    <x v="116"/>
    <s v="Priya"/>
    <x v="3"/>
    <x v="11"/>
    <x v="0"/>
    <s v="Female"/>
    <n v="21"/>
    <n v="614.26"/>
    <n v="844.42"/>
    <n v="12899.46"/>
    <n v="17732.82"/>
    <n v="4833.3599999999997"/>
  </r>
  <r>
    <x v="77"/>
    <s v="Amit"/>
    <x v="2"/>
    <x v="8"/>
    <x v="5"/>
    <s v="Male"/>
    <n v="21"/>
    <n v="121.03"/>
    <n v="138.65"/>
    <n v="2541.63"/>
    <n v="2911.65"/>
    <n v="370.02"/>
  </r>
  <r>
    <x v="34"/>
    <s v="Rahul"/>
    <x v="0"/>
    <x v="10"/>
    <x v="1"/>
    <s v="Male"/>
    <n v="49"/>
    <n v="966.51"/>
    <n v="1251.1099999999999"/>
    <n v="47358.99"/>
    <n v="61304.39"/>
    <n v="13945.4"/>
  </r>
  <r>
    <x v="121"/>
    <s v="Rohit"/>
    <x v="3"/>
    <x v="11"/>
    <x v="0"/>
    <s v="Male"/>
    <n v="48"/>
    <n v="805.06"/>
    <n v="920.1"/>
    <n v="38642.879999999997"/>
    <n v="44164.800000000003"/>
    <n v="5521.92"/>
  </r>
  <r>
    <x v="220"/>
    <s v="Rahul"/>
    <x v="0"/>
    <x v="10"/>
    <x v="5"/>
    <s v="Male"/>
    <n v="49"/>
    <n v="67.87"/>
    <n v="100.6"/>
    <n v="3325.63"/>
    <n v="4929.3999999999996"/>
    <n v="1603.77"/>
  </r>
  <r>
    <x v="221"/>
    <s v="Pooja"/>
    <x v="3"/>
    <x v="11"/>
    <x v="2"/>
    <s v="Male"/>
    <n v="32"/>
    <n v="936.13"/>
    <n v="1268.73"/>
    <n v="29956.16"/>
    <n v="40599.360000000001"/>
    <n v="10643.2"/>
  </r>
  <r>
    <x v="143"/>
    <s v="Ankit"/>
    <x v="1"/>
    <x v="1"/>
    <x v="0"/>
    <s v="Male"/>
    <n v="28"/>
    <n v="675.63"/>
    <n v="767.89"/>
    <n v="18917.64"/>
    <n v="21500.92"/>
    <n v="2583.2800000000002"/>
  </r>
  <r>
    <x v="222"/>
    <s v="Amit"/>
    <x v="3"/>
    <x v="6"/>
    <x v="4"/>
    <s v="Male"/>
    <n v="23"/>
    <n v="766"/>
    <n v="958.26"/>
    <n v="17618"/>
    <n v="22039.98"/>
    <n v="4421.9799999999996"/>
  </r>
  <r>
    <x v="9"/>
    <s v="Priya"/>
    <x v="0"/>
    <x v="0"/>
    <x v="1"/>
    <s v="Female"/>
    <n v="24"/>
    <n v="450.59"/>
    <n v="589.51"/>
    <n v="10814.16"/>
    <n v="14148.24"/>
    <n v="3334.08"/>
  </r>
  <r>
    <x v="223"/>
    <s v="Ankit"/>
    <x v="0"/>
    <x v="9"/>
    <x v="4"/>
    <s v="Female"/>
    <n v="13"/>
    <n v="396.45"/>
    <n v="591.22"/>
    <n v="5153.8500000000004"/>
    <n v="7685.86"/>
    <n v="2532.0100000000002"/>
  </r>
  <r>
    <x v="224"/>
    <s v="Vikas"/>
    <x v="0"/>
    <x v="0"/>
    <x v="0"/>
    <s v="Female"/>
    <n v="32"/>
    <n v="486.22"/>
    <n v="564.79"/>
    <n v="15559.04"/>
    <n v="18073.28"/>
    <n v="2514.2399999999998"/>
  </r>
  <r>
    <x v="109"/>
    <s v="Sneha"/>
    <x v="3"/>
    <x v="11"/>
    <x v="5"/>
    <s v="Female"/>
    <n v="17"/>
    <n v="652.42999999999995"/>
    <n v="952.04"/>
    <n v="11091.31"/>
    <n v="16184.68"/>
    <n v="5093.37"/>
  </r>
  <r>
    <x v="64"/>
    <s v="Rohit"/>
    <x v="0"/>
    <x v="9"/>
    <x v="2"/>
    <s v="Female"/>
    <n v="35"/>
    <n v="808.28"/>
    <n v="911.85"/>
    <n v="28289.8"/>
    <n v="31914.75"/>
    <n v="3624.95"/>
  </r>
  <r>
    <x v="24"/>
    <s v="Neha"/>
    <x v="0"/>
    <x v="10"/>
    <x v="3"/>
    <s v="Female"/>
    <n v="50"/>
    <n v="787.56"/>
    <n v="958.94"/>
    <n v="39378"/>
    <n v="47947"/>
    <n v="8569"/>
  </r>
  <r>
    <x v="100"/>
    <s v="Vikas"/>
    <x v="0"/>
    <x v="10"/>
    <x v="2"/>
    <s v="Male"/>
    <n v="29"/>
    <n v="519.62"/>
    <n v="747.98"/>
    <n v="15068.98"/>
    <n v="21691.42"/>
    <n v="6622.44"/>
  </r>
  <r>
    <x v="186"/>
    <s v="Amit"/>
    <x v="0"/>
    <x v="10"/>
    <x v="3"/>
    <s v="Male"/>
    <n v="20"/>
    <n v="662.64"/>
    <n v="794.24"/>
    <n v="13252.8"/>
    <n v="15884.8"/>
    <n v="2632"/>
  </r>
  <r>
    <x v="124"/>
    <s v="Priya"/>
    <x v="3"/>
    <x v="6"/>
    <x v="0"/>
    <s v="Female"/>
    <n v="40"/>
    <n v="260.86"/>
    <n v="354.64"/>
    <n v="10434.4"/>
    <n v="14185.6"/>
    <n v="3751.2"/>
  </r>
  <r>
    <x v="17"/>
    <s v="Rahul"/>
    <x v="0"/>
    <x v="10"/>
    <x v="4"/>
    <s v="Female"/>
    <n v="28"/>
    <n v="452.7"/>
    <n v="665.96"/>
    <n v="12675.6"/>
    <n v="18646.88"/>
    <n v="5971.28"/>
  </r>
  <r>
    <x v="225"/>
    <s v="Ankit"/>
    <x v="0"/>
    <x v="10"/>
    <x v="2"/>
    <s v="Male"/>
    <n v="1"/>
    <n v="223.99"/>
    <n v="298.83"/>
    <n v="223.99"/>
    <n v="298.83"/>
    <n v="74.84"/>
  </r>
  <r>
    <x v="226"/>
    <s v="Priya"/>
    <x v="3"/>
    <x v="5"/>
    <x v="2"/>
    <s v="Male"/>
    <n v="22"/>
    <n v="549.59"/>
    <n v="651.34"/>
    <n v="12090.98"/>
    <n v="14329.48"/>
    <n v="2238.5"/>
  </r>
  <r>
    <x v="125"/>
    <s v="Rahul"/>
    <x v="2"/>
    <x v="8"/>
    <x v="0"/>
    <s v="Male"/>
    <n v="3"/>
    <n v="786.52"/>
    <n v="1013.29"/>
    <n v="2359.56"/>
    <n v="3039.87"/>
    <n v="680.31"/>
  </r>
  <r>
    <x v="221"/>
    <s v="Neha"/>
    <x v="2"/>
    <x v="8"/>
    <x v="2"/>
    <s v="Male"/>
    <n v="10"/>
    <n v="929.32"/>
    <n v="1202.98"/>
    <n v="9293.2000000000007"/>
    <n v="12029.8"/>
    <n v="2736.6"/>
  </r>
  <r>
    <x v="42"/>
    <s v="Rahul"/>
    <x v="2"/>
    <x v="4"/>
    <x v="5"/>
    <s v="Male"/>
    <n v="3"/>
    <n v="449.8"/>
    <n v="530.29"/>
    <n v="1349.4"/>
    <n v="1590.87"/>
    <n v="241.47"/>
  </r>
  <r>
    <x v="227"/>
    <s v="Neha"/>
    <x v="3"/>
    <x v="11"/>
    <x v="5"/>
    <s v="Male"/>
    <n v="13"/>
    <n v="868.82"/>
    <n v="1122.3"/>
    <n v="11294.66"/>
    <n v="14589.9"/>
    <n v="3295.24"/>
  </r>
  <r>
    <x v="118"/>
    <s v="Ankit"/>
    <x v="1"/>
    <x v="2"/>
    <x v="2"/>
    <s v="Male"/>
    <n v="41"/>
    <n v="934.25"/>
    <n v="1354.73"/>
    <n v="38304.25"/>
    <n v="55543.93"/>
    <n v="17239.68"/>
  </r>
  <r>
    <x v="228"/>
    <s v="Amit"/>
    <x v="3"/>
    <x v="11"/>
    <x v="2"/>
    <s v="Female"/>
    <n v="25"/>
    <n v="662.92"/>
    <n v="775.42"/>
    <n v="16573"/>
    <n v="19385.5"/>
    <n v="2812.5"/>
  </r>
  <r>
    <x v="226"/>
    <s v="Priya"/>
    <x v="0"/>
    <x v="0"/>
    <x v="0"/>
    <s v="Female"/>
    <n v="7"/>
    <n v="543.77"/>
    <n v="710.31"/>
    <n v="3806.39"/>
    <n v="4972.17"/>
    <n v="1165.78"/>
  </r>
  <r>
    <x v="170"/>
    <s v="Vikas"/>
    <x v="1"/>
    <x v="2"/>
    <x v="0"/>
    <s v="Male"/>
    <n v="10"/>
    <n v="518.89"/>
    <n v="571.71"/>
    <n v="5188.8999999999996"/>
    <n v="5717.1"/>
    <n v="528.20000000000005"/>
  </r>
  <r>
    <x v="136"/>
    <s v="Pooja"/>
    <x v="1"/>
    <x v="1"/>
    <x v="0"/>
    <s v="Male"/>
    <n v="38"/>
    <n v="700.16"/>
    <n v="1041.78"/>
    <n v="26606.080000000002"/>
    <n v="39587.64"/>
    <n v="12981.56"/>
  </r>
  <r>
    <x v="229"/>
    <s v="Amit"/>
    <x v="2"/>
    <x v="4"/>
    <x v="5"/>
    <s v="Female"/>
    <n v="43"/>
    <n v="497.14"/>
    <n v="717.25"/>
    <n v="21377.02"/>
    <n v="30841.75"/>
    <n v="9464.73"/>
  </r>
  <r>
    <x v="230"/>
    <s v="Priya"/>
    <x v="3"/>
    <x v="5"/>
    <x v="4"/>
    <s v="Male"/>
    <n v="37"/>
    <n v="556.03"/>
    <n v="748.09"/>
    <n v="20573.11"/>
    <n v="27679.33"/>
    <n v="7106.22"/>
  </r>
  <r>
    <x v="27"/>
    <s v="Amit"/>
    <x v="1"/>
    <x v="1"/>
    <x v="2"/>
    <s v="Male"/>
    <n v="48"/>
    <n v="833.28"/>
    <n v="927.15"/>
    <n v="39997.440000000002"/>
    <n v="44503.199999999997"/>
    <n v="4505.76"/>
  </r>
  <r>
    <x v="231"/>
    <s v="Sneha"/>
    <x v="0"/>
    <x v="0"/>
    <x v="1"/>
    <s v="Male"/>
    <n v="31"/>
    <n v="958.92"/>
    <n v="1240.22"/>
    <n v="29726.52"/>
    <n v="38446.82"/>
    <n v="8720.2999999999993"/>
  </r>
  <r>
    <x v="226"/>
    <s v="Pooja"/>
    <x v="0"/>
    <x v="0"/>
    <x v="2"/>
    <s v="Male"/>
    <n v="19"/>
    <n v="117.06"/>
    <n v="132.44"/>
    <n v="2224.14"/>
    <n v="2516.36"/>
    <n v="292.22000000000003"/>
  </r>
  <r>
    <x v="99"/>
    <s v="Priya"/>
    <x v="2"/>
    <x v="7"/>
    <x v="2"/>
    <s v="Female"/>
    <n v="7"/>
    <n v="693.07"/>
    <n v="1000.41"/>
    <n v="4851.49"/>
    <n v="7002.87"/>
    <n v="2151.38"/>
  </r>
  <r>
    <x v="232"/>
    <s v="Priya"/>
    <x v="2"/>
    <x v="4"/>
    <x v="3"/>
    <s v="Male"/>
    <n v="42"/>
    <n v="828.15"/>
    <n v="965.96"/>
    <n v="34782.300000000003"/>
    <n v="40570.32"/>
    <n v="5788.02"/>
  </r>
  <r>
    <x v="43"/>
    <s v="Pooja"/>
    <x v="1"/>
    <x v="2"/>
    <x v="1"/>
    <s v="Male"/>
    <n v="37"/>
    <n v="280.83"/>
    <n v="315.83"/>
    <n v="10390.709999999999"/>
    <n v="11685.71"/>
    <n v="1295"/>
  </r>
  <r>
    <x v="215"/>
    <s v="Sneha"/>
    <x v="2"/>
    <x v="7"/>
    <x v="3"/>
    <s v="Female"/>
    <n v="40"/>
    <n v="411.92"/>
    <n v="560.91999999999996"/>
    <n v="16476.8"/>
    <n v="22436.799999999999"/>
    <n v="5960"/>
  </r>
  <r>
    <x v="233"/>
    <s v="Amit"/>
    <x v="3"/>
    <x v="6"/>
    <x v="5"/>
    <s v="Male"/>
    <n v="1"/>
    <n v="620.66999999999996"/>
    <n v="732.43"/>
    <n v="620.66999999999996"/>
    <n v="732.43"/>
    <n v="111.76"/>
  </r>
  <r>
    <x v="234"/>
    <s v="Ankit"/>
    <x v="0"/>
    <x v="9"/>
    <x v="2"/>
    <s v="Male"/>
    <n v="25"/>
    <n v="292.77999999999997"/>
    <n v="322.93"/>
    <n v="7319.5"/>
    <n v="8073.25"/>
    <n v="753.75"/>
  </r>
  <r>
    <x v="235"/>
    <s v="Pooja"/>
    <x v="2"/>
    <x v="4"/>
    <x v="4"/>
    <s v="Female"/>
    <n v="29"/>
    <n v="672.48"/>
    <n v="836.01"/>
    <n v="19501.919999999998"/>
    <n v="24244.29"/>
    <n v="4742.37"/>
  </r>
  <r>
    <x v="12"/>
    <s v="Vikas"/>
    <x v="0"/>
    <x v="10"/>
    <x v="3"/>
    <s v="Female"/>
    <n v="30"/>
    <n v="979.91"/>
    <n v="1443.45"/>
    <n v="29397.3"/>
    <n v="43303.5"/>
    <n v="13906.2"/>
  </r>
  <r>
    <x v="59"/>
    <s v="Vikas"/>
    <x v="1"/>
    <x v="1"/>
    <x v="4"/>
    <s v="Male"/>
    <n v="18"/>
    <n v="153.62"/>
    <n v="212.06"/>
    <n v="2765.16"/>
    <n v="3817.08"/>
    <n v="1051.92"/>
  </r>
  <r>
    <x v="162"/>
    <s v="Vikas"/>
    <x v="0"/>
    <x v="10"/>
    <x v="3"/>
    <s v="Female"/>
    <n v="18"/>
    <n v="845.76"/>
    <n v="937.17"/>
    <n v="15223.68"/>
    <n v="16869.060000000001"/>
    <n v="1645.38"/>
  </r>
  <r>
    <x v="155"/>
    <s v="Neha"/>
    <x v="2"/>
    <x v="4"/>
    <x v="0"/>
    <s v="Female"/>
    <n v="45"/>
    <n v="390.32"/>
    <n v="506.48"/>
    <n v="17564.400000000001"/>
    <n v="22791.599999999999"/>
    <n v="5227.2"/>
  </r>
  <r>
    <x v="49"/>
    <s v="Pooja"/>
    <x v="1"/>
    <x v="3"/>
    <x v="4"/>
    <s v="Female"/>
    <n v="38"/>
    <n v="312.58999999999997"/>
    <n v="370.25"/>
    <n v="11878.42"/>
    <n v="14069.5"/>
    <n v="2191.08"/>
  </r>
  <r>
    <x v="116"/>
    <s v="Rohit"/>
    <x v="0"/>
    <x v="9"/>
    <x v="2"/>
    <s v="Female"/>
    <n v="31"/>
    <n v="510.74"/>
    <n v="678.45"/>
    <n v="15832.94"/>
    <n v="21031.95"/>
    <n v="5199.01"/>
  </r>
  <r>
    <x v="236"/>
    <s v="Kiran"/>
    <x v="3"/>
    <x v="11"/>
    <x v="1"/>
    <s v="Female"/>
    <n v="16"/>
    <n v="512.73"/>
    <n v="566.41"/>
    <n v="8203.68"/>
    <n v="9062.56"/>
    <n v="858.88"/>
  </r>
  <r>
    <x v="150"/>
    <s v="Amit"/>
    <x v="2"/>
    <x v="8"/>
    <x v="0"/>
    <s v="Male"/>
    <n v="26"/>
    <n v="722.87"/>
    <n v="1005.95"/>
    <n v="18794.62"/>
    <n v="26154.7"/>
    <n v="7360.08"/>
  </r>
  <r>
    <x v="64"/>
    <s v="Pooja"/>
    <x v="2"/>
    <x v="8"/>
    <x v="1"/>
    <s v="Female"/>
    <n v="29"/>
    <n v="654.51"/>
    <n v="762.59"/>
    <n v="18980.79"/>
    <n v="22115.11"/>
    <n v="3134.32"/>
  </r>
  <r>
    <x v="135"/>
    <s v="Neha"/>
    <x v="3"/>
    <x v="11"/>
    <x v="0"/>
    <s v="Male"/>
    <n v="31"/>
    <n v="296.36"/>
    <n v="420.09"/>
    <n v="9187.16"/>
    <n v="13022.79"/>
    <n v="3835.63"/>
  </r>
  <r>
    <x v="237"/>
    <s v="Sneha"/>
    <x v="2"/>
    <x v="7"/>
    <x v="2"/>
    <s v="Female"/>
    <n v="50"/>
    <n v="522.39"/>
    <n v="713.06"/>
    <n v="26119.5"/>
    <n v="35653"/>
    <n v="9533.5"/>
  </r>
  <r>
    <x v="173"/>
    <s v="Amit"/>
    <x v="0"/>
    <x v="9"/>
    <x v="2"/>
    <s v="Male"/>
    <n v="31"/>
    <n v="451.2"/>
    <n v="518.97"/>
    <n v="13987.2"/>
    <n v="16088.07"/>
    <n v="2100.87"/>
  </r>
  <r>
    <x v="42"/>
    <s v="Sneha"/>
    <x v="3"/>
    <x v="6"/>
    <x v="0"/>
    <s v="Female"/>
    <n v="2"/>
    <n v="835.33"/>
    <n v="1018.9"/>
    <n v="1670.66"/>
    <n v="2037.8"/>
    <n v="367.14"/>
  </r>
  <r>
    <x v="154"/>
    <s v="Vikas"/>
    <x v="2"/>
    <x v="7"/>
    <x v="5"/>
    <s v="Female"/>
    <n v="49"/>
    <n v="378.43"/>
    <n v="524.16999999999996"/>
    <n v="18543.07"/>
    <n v="25684.33"/>
    <n v="7141.26"/>
  </r>
  <r>
    <x v="10"/>
    <s v="Vikas"/>
    <x v="1"/>
    <x v="2"/>
    <x v="3"/>
    <s v="Female"/>
    <n v="23"/>
    <n v="393.84"/>
    <n v="544.77"/>
    <n v="9058.32"/>
    <n v="12529.71"/>
    <n v="3471.39"/>
  </r>
  <r>
    <x v="54"/>
    <s v="Vikas"/>
    <x v="0"/>
    <x v="10"/>
    <x v="3"/>
    <s v="Male"/>
    <n v="41"/>
    <n v="402.97"/>
    <n v="546.20000000000005"/>
    <n v="16521.77"/>
    <n v="22394.2"/>
    <n v="5872.43"/>
  </r>
  <r>
    <x v="143"/>
    <s v="Pooja"/>
    <x v="3"/>
    <x v="6"/>
    <x v="0"/>
    <s v="Male"/>
    <n v="31"/>
    <n v="342.28"/>
    <n v="436.39"/>
    <n v="10610.68"/>
    <n v="13528.09"/>
    <n v="2917.41"/>
  </r>
  <r>
    <x v="122"/>
    <s v="Kiran"/>
    <x v="3"/>
    <x v="6"/>
    <x v="0"/>
    <s v="Female"/>
    <n v="39"/>
    <n v="888.54"/>
    <n v="1028.6500000000001"/>
    <n v="34653.06"/>
    <n v="40117.35"/>
    <n v="5464.29"/>
  </r>
  <r>
    <x v="132"/>
    <s v="Ankit"/>
    <x v="0"/>
    <x v="9"/>
    <x v="1"/>
    <s v="Male"/>
    <n v="26"/>
    <n v="662.34"/>
    <n v="780.11"/>
    <n v="17220.84"/>
    <n v="20282.86"/>
    <n v="3062.02"/>
  </r>
  <r>
    <x v="100"/>
    <s v="Rahul"/>
    <x v="0"/>
    <x v="10"/>
    <x v="1"/>
    <s v="Female"/>
    <n v="19"/>
    <n v="935.8"/>
    <n v="1235.49"/>
    <n v="17780.2"/>
    <n v="23474.31"/>
    <n v="5694.11"/>
  </r>
  <r>
    <x v="92"/>
    <s v="Sneha"/>
    <x v="0"/>
    <x v="0"/>
    <x v="3"/>
    <s v="Male"/>
    <n v="32"/>
    <n v="703.14"/>
    <n v="1005.22"/>
    <n v="22500.48"/>
    <n v="32167.040000000001"/>
    <n v="9666.56"/>
  </r>
  <r>
    <x v="238"/>
    <s v="Ankit"/>
    <x v="3"/>
    <x v="5"/>
    <x v="3"/>
    <s v="Female"/>
    <n v="21"/>
    <n v="556.51"/>
    <n v="616.91"/>
    <n v="11686.71"/>
    <n v="12955.11"/>
    <n v="1268.4000000000001"/>
  </r>
  <r>
    <x v="147"/>
    <s v="Sneha"/>
    <x v="3"/>
    <x v="5"/>
    <x v="0"/>
    <s v="Male"/>
    <n v="48"/>
    <n v="490.26"/>
    <n v="663.01"/>
    <n v="23532.48"/>
    <n v="31824.48"/>
    <n v="8292"/>
  </r>
  <r>
    <x v="98"/>
    <s v="Amit"/>
    <x v="2"/>
    <x v="4"/>
    <x v="3"/>
    <s v="Male"/>
    <n v="17"/>
    <n v="560.97"/>
    <n v="801.13"/>
    <n v="9536.49"/>
    <n v="13619.21"/>
    <n v="4082.72"/>
  </r>
  <r>
    <x v="239"/>
    <s v="Kiran"/>
    <x v="3"/>
    <x v="5"/>
    <x v="4"/>
    <s v="Female"/>
    <n v="34"/>
    <n v="687.04"/>
    <n v="756.28"/>
    <n v="23359.360000000001"/>
    <n v="25713.52"/>
    <n v="2354.16"/>
  </r>
  <r>
    <x v="240"/>
    <s v="Amit"/>
    <x v="1"/>
    <x v="1"/>
    <x v="1"/>
    <s v="Female"/>
    <n v="2"/>
    <n v="232.11"/>
    <n v="258.67"/>
    <n v="464.22"/>
    <n v="517.34"/>
    <n v="53.12"/>
  </r>
  <r>
    <x v="96"/>
    <s v="Ankit"/>
    <x v="3"/>
    <x v="11"/>
    <x v="3"/>
    <s v="Male"/>
    <n v="18"/>
    <n v="203.58"/>
    <n v="248.06"/>
    <n v="3664.44"/>
    <n v="4465.08"/>
    <n v="800.64"/>
  </r>
  <r>
    <x v="241"/>
    <s v="Pooja"/>
    <x v="0"/>
    <x v="10"/>
    <x v="3"/>
    <s v="Female"/>
    <n v="48"/>
    <n v="146.51"/>
    <n v="172.41"/>
    <n v="7032.48"/>
    <n v="8275.68"/>
    <n v="1243.2"/>
  </r>
  <r>
    <x v="81"/>
    <s v="Amit"/>
    <x v="1"/>
    <x v="3"/>
    <x v="4"/>
    <s v="Female"/>
    <n v="34"/>
    <n v="730.33"/>
    <n v="1054.24"/>
    <n v="24831.22"/>
    <n v="35844.160000000003"/>
    <n v="11012.94"/>
  </r>
  <r>
    <x v="242"/>
    <s v="Kiran"/>
    <x v="1"/>
    <x v="2"/>
    <x v="3"/>
    <s v="Female"/>
    <n v="18"/>
    <n v="938.11"/>
    <n v="1372.77"/>
    <n v="16885.98"/>
    <n v="24709.86"/>
    <n v="7823.88"/>
  </r>
  <r>
    <x v="115"/>
    <s v="Kiran"/>
    <x v="0"/>
    <x v="9"/>
    <x v="0"/>
    <s v="Female"/>
    <n v="42"/>
    <n v="594.94000000000005"/>
    <n v="841.14"/>
    <n v="24987.48"/>
    <n v="35327.879999999997"/>
    <n v="10340.4"/>
  </r>
  <r>
    <x v="137"/>
    <s v="Rohit"/>
    <x v="3"/>
    <x v="6"/>
    <x v="3"/>
    <s v="Male"/>
    <n v="20"/>
    <n v="447.08"/>
    <n v="571.80999999999995"/>
    <n v="8941.6"/>
    <n v="11436.2"/>
    <n v="2494.6"/>
  </r>
  <r>
    <x v="102"/>
    <s v="Sneha"/>
    <x v="3"/>
    <x v="6"/>
    <x v="0"/>
    <s v="Male"/>
    <n v="16"/>
    <n v="330.54"/>
    <n v="480.8"/>
    <n v="5288.64"/>
    <n v="7692.8"/>
    <n v="2404.16"/>
  </r>
  <r>
    <x v="61"/>
    <s v="Neha"/>
    <x v="3"/>
    <x v="6"/>
    <x v="0"/>
    <s v="Female"/>
    <n v="32"/>
    <n v="117.85"/>
    <n v="130.31"/>
    <n v="3771.2"/>
    <n v="4169.92"/>
    <n v="398.72"/>
  </r>
  <r>
    <x v="243"/>
    <s v="Rahul"/>
    <x v="3"/>
    <x v="11"/>
    <x v="5"/>
    <s v="Female"/>
    <n v="47"/>
    <n v="921.75"/>
    <n v="1200.92"/>
    <n v="43322.25"/>
    <n v="56443.24"/>
    <n v="13120.99"/>
  </r>
  <r>
    <x v="33"/>
    <s v="Pooja"/>
    <x v="2"/>
    <x v="8"/>
    <x v="0"/>
    <s v="Female"/>
    <n v="12"/>
    <n v="443.97"/>
    <n v="567.5"/>
    <n v="5327.64"/>
    <n v="6810"/>
    <n v="1482.36"/>
  </r>
  <r>
    <x v="78"/>
    <s v="Rahul"/>
    <x v="0"/>
    <x v="10"/>
    <x v="0"/>
    <s v="Male"/>
    <n v="15"/>
    <n v="344.6"/>
    <n v="411.63"/>
    <n v="5169"/>
    <n v="6174.45"/>
    <n v="1005.45"/>
  </r>
  <r>
    <x v="105"/>
    <s v="Kiran"/>
    <x v="3"/>
    <x v="6"/>
    <x v="5"/>
    <s v="Male"/>
    <n v="41"/>
    <n v="929.42"/>
    <n v="1052.6199999999999"/>
    <n v="38106.22"/>
    <n v="43157.42"/>
    <n v="5051.2"/>
  </r>
  <r>
    <x v="244"/>
    <s v="Rohit"/>
    <x v="0"/>
    <x v="0"/>
    <x v="0"/>
    <s v="Male"/>
    <n v="29"/>
    <n v="684.55"/>
    <n v="754.41"/>
    <n v="19851.95"/>
    <n v="21877.89"/>
    <n v="2025.94"/>
  </r>
  <r>
    <x v="132"/>
    <s v="Vikas"/>
    <x v="1"/>
    <x v="1"/>
    <x v="1"/>
    <s v="Male"/>
    <n v="37"/>
    <n v="452.18"/>
    <n v="595.63"/>
    <n v="16730.66"/>
    <n v="22038.31"/>
    <n v="5307.65"/>
  </r>
  <r>
    <x v="232"/>
    <s v="Pooja"/>
    <x v="0"/>
    <x v="0"/>
    <x v="3"/>
    <s v="Female"/>
    <n v="45"/>
    <n v="828.83"/>
    <n v="1039.3800000000001"/>
    <n v="37297.35"/>
    <n v="46772.1"/>
    <n v="9474.75"/>
  </r>
  <r>
    <x v="245"/>
    <s v="Sneha"/>
    <x v="0"/>
    <x v="9"/>
    <x v="3"/>
    <s v="Male"/>
    <n v="20"/>
    <n v="830.51"/>
    <n v="1119.81"/>
    <n v="16610.2"/>
    <n v="22396.2"/>
    <n v="5786"/>
  </r>
  <r>
    <x v="246"/>
    <s v="Rahul"/>
    <x v="1"/>
    <x v="1"/>
    <x v="4"/>
    <s v="Male"/>
    <n v="6"/>
    <n v="275.02999999999997"/>
    <n v="354.96"/>
    <n v="1650.18"/>
    <n v="2129.7600000000002"/>
    <n v="479.58"/>
  </r>
  <r>
    <x v="199"/>
    <s v="Priya"/>
    <x v="2"/>
    <x v="7"/>
    <x v="1"/>
    <s v="Male"/>
    <n v="32"/>
    <n v="203.56"/>
    <n v="264.39999999999998"/>
    <n v="6513.92"/>
    <n v="8460.7999999999993"/>
    <n v="1946.88"/>
  </r>
  <r>
    <x v="174"/>
    <s v="Priya"/>
    <x v="0"/>
    <x v="10"/>
    <x v="1"/>
    <s v="Female"/>
    <n v="4"/>
    <n v="880.73"/>
    <n v="1222.69"/>
    <n v="3522.92"/>
    <n v="4890.76"/>
    <n v="1367.84"/>
  </r>
  <r>
    <x v="247"/>
    <s v="Rohit"/>
    <x v="2"/>
    <x v="4"/>
    <x v="3"/>
    <s v="Male"/>
    <n v="33"/>
    <n v="380.08"/>
    <n v="544.65"/>
    <n v="12542.64"/>
    <n v="17973.45"/>
    <n v="5430.81"/>
  </r>
  <r>
    <x v="248"/>
    <s v="Rohit"/>
    <x v="2"/>
    <x v="7"/>
    <x v="0"/>
    <s v="Male"/>
    <n v="22"/>
    <n v="174.69"/>
    <n v="226.31"/>
    <n v="3843.18"/>
    <n v="4978.82"/>
    <n v="1135.6400000000001"/>
  </r>
  <r>
    <x v="249"/>
    <s v="Rahul"/>
    <x v="0"/>
    <x v="0"/>
    <x v="3"/>
    <s v="Female"/>
    <n v="42"/>
    <n v="204.02"/>
    <n v="273.95"/>
    <n v="8568.84"/>
    <n v="11505.9"/>
    <n v="2937.06"/>
  </r>
  <r>
    <x v="238"/>
    <s v="Ankit"/>
    <x v="1"/>
    <x v="3"/>
    <x v="4"/>
    <s v="Female"/>
    <n v="45"/>
    <n v="871.53"/>
    <n v="1114.6400000000001"/>
    <n v="39218.85"/>
    <n v="50158.8"/>
    <n v="10939.95"/>
  </r>
  <r>
    <x v="250"/>
    <s v="Sneha"/>
    <x v="2"/>
    <x v="8"/>
    <x v="2"/>
    <s v="Male"/>
    <n v="30"/>
    <n v="716.25"/>
    <n v="992.65"/>
    <n v="21487.5"/>
    <n v="29779.5"/>
    <n v="8292"/>
  </r>
  <r>
    <x v="125"/>
    <s v="Vikas"/>
    <x v="2"/>
    <x v="8"/>
    <x v="0"/>
    <s v="Female"/>
    <n v="29"/>
    <n v="63.87"/>
    <n v="88.54"/>
    <n v="1852.23"/>
    <n v="2567.66"/>
    <n v="715.43"/>
  </r>
  <r>
    <x v="251"/>
    <s v="Neha"/>
    <x v="1"/>
    <x v="3"/>
    <x v="4"/>
    <s v="Female"/>
    <n v="41"/>
    <n v="286.77999999999997"/>
    <n v="416.21"/>
    <n v="11757.98"/>
    <n v="17064.61"/>
    <n v="5306.63"/>
  </r>
  <r>
    <x v="226"/>
    <s v="Priya"/>
    <x v="3"/>
    <x v="5"/>
    <x v="5"/>
    <s v="Female"/>
    <n v="25"/>
    <n v="175.27"/>
    <n v="203.61"/>
    <n v="4381.75"/>
    <n v="5090.25"/>
    <n v="708.5"/>
  </r>
  <r>
    <x v="252"/>
    <s v="Vikas"/>
    <x v="3"/>
    <x v="11"/>
    <x v="5"/>
    <s v="Male"/>
    <n v="40"/>
    <n v="614.79"/>
    <n v="839.65"/>
    <n v="24591.599999999999"/>
    <n v="33586"/>
    <n v="8994.4"/>
  </r>
  <r>
    <x v="134"/>
    <s v="Vikas"/>
    <x v="2"/>
    <x v="8"/>
    <x v="1"/>
    <s v="Male"/>
    <n v="23"/>
    <n v="126.65"/>
    <n v="172.36"/>
    <n v="2912.95"/>
    <n v="3964.28"/>
    <n v="1051.33"/>
  </r>
  <r>
    <x v="104"/>
    <s v="Kiran"/>
    <x v="2"/>
    <x v="7"/>
    <x v="0"/>
    <s v="Female"/>
    <n v="14"/>
    <n v="499.07"/>
    <n v="686.97"/>
    <n v="6986.98"/>
    <n v="9617.58"/>
    <n v="2630.6"/>
  </r>
  <r>
    <x v="59"/>
    <s v="Sneha"/>
    <x v="3"/>
    <x v="6"/>
    <x v="1"/>
    <s v="Female"/>
    <n v="41"/>
    <n v="140.35"/>
    <n v="183.13"/>
    <n v="5754.35"/>
    <n v="7508.33"/>
    <n v="1753.98"/>
  </r>
  <r>
    <x v="24"/>
    <s v="Vikas"/>
    <x v="1"/>
    <x v="2"/>
    <x v="5"/>
    <s v="Female"/>
    <n v="27"/>
    <n v="879.88"/>
    <n v="1025.99"/>
    <n v="23756.76"/>
    <n v="27701.73"/>
    <n v="3944.97"/>
  </r>
  <r>
    <x v="41"/>
    <s v="Sneha"/>
    <x v="0"/>
    <x v="9"/>
    <x v="3"/>
    <s v="Male"/>
    <n v="27"/>
    <n v="995.07"/>
    <n v="1302.02"/>
    <n v="26866.89"/>
    <n v="35154.54"/>
    <n v="8287.65"/>
  </r>
  <r>
    <x v="14"/>
    <s v="Rahul"/>
    <x v="3"/>
    <x v="5"/>
    <x v="1"/>
    <s v="Female"/>
    <n v="31"/>
    <n v="130.41999999999999"/>
    <n v="188.53"/>
    <n v="4043.02"/>
    <n v="5844.43"/>
    <n v="1801.41"/>
  </r>
  <r>
    <x v="243"/>
    <s v="Rahul"/>
    <x v="0"/>
    <x v="0"/>
    <x v="4"/>
    <s v="Male"/>
    <n v="42"/>
    <n v="276.3"/>
    <n v="370.41"/>
    <n v="11604.6"/>
    <n v="15557.22"/>
    <n v="3952.62"/>
  </r>
  <r>
    <x v="109"/>
    <s v="Neha"/>
    <x v="2"/>
    <x v="7"/>
    <x v="2"/>
    <s v="Male"/>
    <n v="3"/>
    <n v="379.2"/>
    <n v="431.77"/>
    <n v="1137.5999999999999"/>
    <n v="1295.31"/>
    <n v="157.71"/>
  </r>
  <r>
    <x v="158"/>
    <s v="Priya"/>
    <x v="2"/>
    <x v="7"/>
    <x v="3"/>
    <s v="Male"/>
    <n v="19"/>
    <n v="335.64"/>
    <n v="478.25"/>
    <n v="6377.16"/>
    <n v="9086.75"/>
    <n v="2709.59"/>
  </r>
  <r>
    <x v="253"/>
    <s v="Neha"/>
    <x v="3"/>
    <x v="6"/>
    <x v="1"/>
    <s v="Male"/>
    <n v="8"/>
    <n v="321.99"/>
    <n v="421.5"/>
    <n v="2575.92"/>
    <n v="3372"/>
    <n v="796.08"/>
  </r>
  <r>
    <x v="152"/>
    <s v="Sneha"/>
    <x v="0"/>
    <x v="9"/>
    <x v="1"/>
    <s v="Male"/>
    <n v="36"/>
    <n v="151.87"/>
    <n v="188.33"/>
    <n v="5467.32"/>
    <n v="6779.88"/>
    <n v="1312.56"/>
  </r>
  <r>
    <x v="38"/>
    <s v="Rohit"/>
    <x v="2"/>
    <x v="4"/>
    <x v="0"/>
    <s v="Female"/>
    <n v="26"/>
    <n v="959.28"/>
    <n v="1287.46"/>
    <n v="24941.279999999999"/>
    <n v="33473.96"/>
    <n v="8532.68"/>
  </r>
  <r>
    <x v="245"/>
    <s v="Vikas"/>
    <x v="0"/>
    <x v="9"/>
    <x v="4"/>
    <s v="Female"/>
    <n v="2"/>
    <n v="330.61"/>
    <n v="479.7"/>
    <n v="661.22"/>
    <n v="959.4"/>
    <n v="298.18"/>
  </r>
  <r>
    <x v="254"/>
    <s v="Amit"/>
    <x v="2"/>
    <x v="7"/>
    <x v="5"/>
    <s v="Male"/>
    <n v="5"/>
    <n v="467.19"/>
    <n v="629.71"/>
    <n v="2335.9499999999998"/>
    <n v="3148.55"/>
    <n v="812.6"/>
  </r>
  <r>
    <x v="255"/>
    <s v="Sneha"/>
    <x v="3"/>
    <x v="6"/>
    <x v="1"/>
    <s v="Male"/>
    <n v="12"/>
    <n v="709.87"/>
    <n v="1031.44"/>
    <n v="8518.44"/>
    <n v="12377.28"/>
    <n v="3858.84"/>
  </r>
  <r>
    <x v="256"/>
    <s v="Neha"/>
    <x v="2"/>
    <x v="4"/>
    <x v="0"/>
    <s v="Male"/>
    <n v="32"/>
    <n v="947.25"/>
    <n v="1417.89"/>
    <n v="30312"/>
    <n v="45372.480000000003"/>
    <n v="15060.48"/>
  </r>
  <r>
    <x v="123"/>
    <s v="Kiran"/>
    <x v="2"/>
    <x v="7"/>
    <x v="4"/>
    <s v="Male"/>
    <n v="37"/>
    <n v="851.23"/>
    <n v="1264.49"/>
    <n v="31495.51"/>
    <n v="46786.13"/>
    <n v="15290.62"/>
  </r>
  <r>
    <x v="0"/>
    <s v="Rohit"/>
    <x v="0"/>
    <x v="0"/>
    <x v="3"/>
    <s v="Male"/>
    <n v="26"/>
    <n v="252.96"/>
    <n v="315.99"/>
    <n v="6576.96"/>
    <n v="8215.74"/>
    <n v="1638.78"/>
  </r>
  <r>
    <x v="234"/>
    <s v="Amit"/>
    <x v="3"/>
    <x v="5"/>
    <x v="5"/>
    <s v="Male"/>
    <n v="10"/>
    <n v="218.04"/>
    <n v="242.82"/>
    <n v="2180.4"/>
    <n v="2428.1999999999998"/>
    <n v="247.8"/>
  </r>
  <r>
    <x v="194"/>
    <s v="Rahul"/>
    <x v="0"/>
    <x v="9"/>
    <x v="2"/>
    <s v="Male"/>
    <n v="15"/>
    <n v="151.79"/>
    <n v="191.09"/>
    <n v="2276.85"/>
    <n v="2866.35"/>
    <n v="589.5"/>
  </r>
  <r>
    <x v="76"/>
    <s v="Ankit"/>
    <x v="2"/>
    <x v="7"/>
    <x v="0"/>
    <s v="Male"/>
    <n v="21"/>
    <n v="494.97"/>
    <n v="593.53"/>
    <n v="10394.370000000001"/>
    <n v="12464.13"/>
    <n v="2069.7600000000002"/>
  </r>
  <r>
    <x v="257"/>
    <s v="Pooja"/>
    <x v="3"/>
    <x v="6"/>
    <x v="1"/>
    <s v="Male"/>
    <n v="48"/>
    <n v="371.92"/>
    <n v="443.7"/>
    <n v="17852.16"/>
    <n v="21297.599999999999"/>
    <n v="3445.44"/>
  </r>
  <r>
    <x v="0"/>
    <s v="Kiran"/>
    <x v="3"/>
    <x v="6"/>
    <x v="1"/>
    <s v="Male"/>
    <n v="5"/>
    <n v="946.34"/>
    <n v="1250.3599999999999"/>
    <n v="4731.7"/>
    <n v="6251.8"/>
    <n v="1520.1"/>
  </r>
  <r>
    <x v="258"/>
    <s v="Neha"/>
    <x v="3"/>
    <x v="5"/>
    <x v="0"/>
    <s v="Female"/>
    <n v="23"/>
    <n v="180.93"/>
    <n v="224.41"/>
    <n v="4161.3900000000003"/>
    <n v="5161.43"/>
    <n v="1000.04"/>
  </r>
  <r>
    <x v="48"/>
    <s v="Kiran"/>
    <x v="1"/>
    <x v="3"/>
    <x v="4"/>
    <s v="Male"/>
    <n v="46"/>
    <n v="680.98"/>
    <n v="890.62"/>
    <n v="31325.08"/>
    <n v="40968.519999999997"/>
    <n v="9643.44"/>
  </r>
  <r>
    <x v="52"/>
    <s v="Vikas"/>
    <x v="2"/>
    <x v="7"/>
    <x v="0"/>
    <s v="Male"/>
    <n v="40"/>
    <n v="538.16999999999996"/>
    <n v="804.26"/>
    <n v="21526.799999999999"/>
    <n v="32170.400000000001"/>
    <n v="10643.6"/>
  </r>
  <r>
    <x v="199"/>
    <s v="Neha"/>
    <x v="0"/>
    <x v="10"/>
    <x v="2"/>
    <s v="Male"/>
    <n v="4"/>
    <n v="323.77999999999997"/>
    <n v="382.82"/>
    <n v="1295.1199999999999"/>
    <n v="1531.28"/>
    <n v="236.16"/>
  </r>
  <r>
    <x v="109"/>
    <s v="Sneha"/>
    <x v="0"/>
    <x v="0"/>
    <x v="2"/>
    <s v="Female"/>
    <n v="17"/>
    <n v="660.2"/>
    <n v="824.82"/>
    <n v="11223.4"/>
    <n v="14021.94"/>
    <n v="2798.54"/>
  </r>
  <r>
    <x v="182"/>
    <s v="Rohit"/>
    <x v="1"/>
    <x v="2"/>
    <x v="1"/>
    <s v="Male"/>
    <n v="49"/>
    <n v="297.14999999999998"/>
    <n v="376.49"/>
    <n v="14560.35"/>
    <n v="18448.009999999998"/>
    <n v="3887.66"/>
  </r>
  <r>
    <x v="193"/>
    <s v="Vikas"/>
    <x v="2"/>
    <x v="8"/>
    <x v="2"/>
    <s v="Male"/>
    <n v="10"/>
    <n v="121.84"/>
    <n v="181.26"/>
    <n v="1218.4000000000001"/>
    <n v="1812.6"/>
    <n v="594.20000000000005"/>
  </r>
  <r>
    <x v="154"/>
    <s v="Kiran"/>
    <x v="1"/>
    <x v="3"/>
    <x v="1"/>
    <s v="Female"/>
    <n v="40"/>
    <n v="459.64"/>
    <n v="580.97"/>
    <n v="18385.599999999999"/>
    <n v="23238.799999999999"/>
    <n v="4853.2"/>
  </r>
  <r>
    <x v="259"/>
    <s v="Neha"/>
    <x v="1"/>
    <x v="2"/>
    <x v="3"/>
    <s v="Female"/>
    <n v="2"/>
    <n v="117.56"/>
    <n v="151.94"/>
    <n v="235.12"/>
    <n v="303.88"/>
    <n v="68.760000000000005"/>
  </r>
  <r>
    <x v="260"/>
    <s v="Amit"/>
    <x v="2"/>
    <x v="7"/>
    <x v="0"/>
    <s v="Female"/>
    <n v="16"/>
    <n v="356.19"/>
    <n v="431.49"/>
    <n v="5699.04"/>
    <n v="6903.84"/>
    <n v="1204.8"/>
  </r>
  <r>
    <x v="42"/>
    <s v="Sneha"/>
    <x v="2"/>
    <x v="4"/>
    <x v="4"/>
    <s v="Male"/>
    <n v="36"/>
    <n v="345.63"/>
    <n v="381.78"/>
    <n v="12442.68"/>
    <n v="13744.08"/>
    <n v="1301.4000000000001"/>
  </r>
  <r>
    <x v="261"/>
    <s v="Amit"/>
    <x v="3"/>
    <x v="6"/>
    <x v="4"/>
    <s v="Female"/>
    <n v="8"/>
    <n v="832.32"/>
    <n v="986.66"/>
    <n v="6658.56"/>
    <n v="7893.28"/>
    <n v="1234.72"/>
  </r>
  <r>
    <x v="202"/>
    <s v="Pooja"/>
    <x v="3"/>
    <x v="6"/>
    <x v="3"/>
    <s v="Male"/>
    <n v="6"/>
    <n v="980.86"/>
    <n v="1318.38"/>
    <n v="5885.16"/>
    <n v="7910.28"/>
    <n v="2025.12"/>
  </r>
  <r>
    <x v="30"/>
    <s v="Rohit"/>
    <x v="3"/>
    <x v="6"/>
    <x v="4"/>
    <s v="Female"/>
    <n v="32"/>
    <n v="815.78"/>
    <n v="925.15"/>
    <n v="26104.959999999999"/>
    <n v="29604.799999999999"/>
    <n v="3499.84"/>
  </r>
  <r>
    <x v="262"/>
    <s v="Pooja"/>
    <x v="3"/>
    <x v="11"/>
    <x v="0"/>
    <s v="Male"/>
    <n v="19"/>
    <n v="428.61"/>
    <n v="537.48"/>
    <n v="8143.59"/>
    <n v="10212.120000000001"/>
    <n v="2068.5300000000002"/>
  </r>
  <r>
    <x v="263"/>
    <s v="Sneha"/>
    <x v="2"/>
    <x v="4"/>
    <x v="4"/>
    <s v="Female"/>
    <n v="47"/>
    <n v="173.17"/>
    <n v="249.32"/>
    <n v="8138.99"/>
    <n v="11718.04"/>
    <n v="3579.05"/>
  </r>
  <r>
    <x v="264"/>
    <s v="Rohit"/>
    <x v="1"/>
    <x v="3"/>
    <x v="4"/>
    <s v="Male"/>
    <n v="49"/>
    <n v="620.04999999999995"/>
    <n v="765.95"/>
    <n v="30382.45"/>
    <n v="37531.550000000003"/>
    <n v="7149.1"/>
  </r>
  <r>
    <x v="55"/>
    <s v="Rahul"/>
    <x v="1"/>
    <x v="3"/>
    <x v="1"/>
    <s v="Female"/>
    <n v="28"/>
    <n v="266.08"/>
    <n v="302.43"/>
    <n v="7450.24"/>
    <n v="8468.0400000000009"/>
    <n v="1017.8"/>
  </r>
  <r>
    <x v="265"/>
    <s v="Rohit"/>
    <x v="1"/>
    <x v="2"/>
    <x v="3"/>
    <s v="Male"/>
    <n v="7"/>
    <n v="522.52"/>
    <n v="597.22"/>
    <n v="3657.64"/>
    <n v="4180.54"/>
    <n v="522.9"/>
  </r>
  <r>
    <x v="229"/>
    <s v="Neha"/>
    <x v="0"/>
    <x v="10"/>
    <x v="2"/>
    <s v="Female"/>
    <n v="38"/>
    <n v="950.8"/>
    <n v="1055.03"/>
    <n v="36130.400000000001"/>
    <n v="40091.14"/>
    <n v="3960.74"/>
  </r>
  <r>
    <x v="208"/>
    <s v="Ankit"/>
    <x v="1"/>
    <x v="1"/>
    <x v="0"/>
    <s v="Male"/>
    <n v="29"/>
    <n v="980.22"/>
    <n v="1243.05"/>
    <n v="28426.38"/>
    <n v="36048.449999999997"/>
    <n v="7622.07"/>
  </r>
  <r>
    <x v="193"/>
    <s v="Amit"/>
    <x v="0"/>
    <x v="10"/>
    <x v="2"/>
    <s v="Male"/>
    <n v="11"/>
    <n v="480.48"/>
    <n v="610.51"/>
    <n v="5285.28"/>
    <n v="6715.61"/>
    <n v="1430.33"/>
  </r>
  <r>
    <x v="244"/>
    <s v="Rahul"/>
    <x v="1"/>
    <x v="1"/>
    <x v="4"/>
    <s v="Male"/>
    <n v="8"/>
    <n v="620.64"/>
    <n v="705.44"/>
    <n v="4965.12"/>
    <n v="5643.52"/>
    <n v="678.4"/>
  </r>
  <r>
    <x v="266"/>
    <s v="Kiran"/>
    <x v="2"/>
    <x v="8"/>
    <x v="1"/>
    <s v="Female"/>
    <n v="3"/>
    <n v="98.81"/>
    <n v="135.63999999999999"/>
    <n v="296.43"/>
    <n v="406.92"/>
    <n v="110.49"/>
  </r>
  <r>
    <x v="30"/>
    <s v="Pooja"/>
    <x v="3"/>
    <x v="6"/>
    <x v="1"/>
    <s v="Male"/>
    <n v="43"/>
    <n v="601.54999999999995"/>
    <n v="787.53"/>
    <n v="25866.65"/>
    <n v="33863.79"/>
    <n v="7997.14"/>
  </r>
  <r>
    <x v="267"/>
    <s v="Ankit"/>
    <x v="2"/>
    <x v="4"/>
    <x v="2"/>
    <s v="Female"/>
    <n v="19"/>
    <n v="63.46"/>
    <n v="90.07"/>
    <n v="1205.74"/>
    <n v="1711.33"/>
    <n v="505.59"/>
  </r>
  <r>
    <x v="7"/>
    <s v="Rahul"/>
    <x v="2"/>
    <x v="8"/>
    <x v="5"/>
    <s v="Male"/>
    <n v="9"/>
    <n v="811.68"/>
    <n v="1172.3399999999999"/>
    <n v="7305.12"/>
    <n v="10551.06"/>
    <n v="3245.94"/>
  </r>
  <r>
    <x v="56"/>
    <s v="Rohit"/>
    <x v="2"/>
    <x v="7"/>
    <x v="5"/>
    <s v="Male"/>
    <n v="27"/>
    <n v="968.74"/>
    <n v="1391.6"/>
    <n v="26155.98"/>
    <n v="37573.199999999997"/>
    <n v="11417.22"/>
  </r>
  <r>
    <x v="146"/>
    <s v="Rahul"/>
    <x v="0"/>
    <x v="0"/>
    <x v="1"/>
    <s v="Female"/>
    <n v="34"/>
    <n v="677.95"/>
    <n v="981.06"/>
    <n v="23050.3"/>
    <n v="33356.04"/>
    <n v="10305.74"/>
  </r>
  <r>
    <x v="71"/>
    <s v="Priya"/>
    <x v="3"/>
    <x v="6"/>
    <x v="0"/>
    <s v="Male"/>
    <n v="34"/>
    <n v="248.84"/>
    <n v="312.72000000000003"/>
    <n v="8460.56"/>
    <n v="10632.48"/>
    <n v="2171.92"/>
  </r>
  <r>
    <x v="142"/>
    <s v="Kiran"/>
    <x v="1"/>
    <x v="3"/>
    <x v="2"/>
    <s v="Male"/>
    <n v="20"/>
    <n v="558.41999999999996"/>
    <n v="770.2"/>
    <n v="11168.4"/>
    <n v="15404"/>
    <n v="4235.6000000000004"/>
  </r>
  <r>
    <x v="22"/>
    <s v="Ankit"/>
    <x v="3"/>
    <x v="5"/>
    <x v="3"/>
    <s v="Male"/>
    <n v="30"/>
    <n v="698.26"/>
    <n v="802.17"/>
    <n v="20947.8"/>
    <n v="24065.1"/>
    <n v="3117.3"/>
  </r>
  <r>
    <x v="61"/>
    <s v="Rahul"/>
    <x v="3"/>
    <x v="5"/>
    <x v="3"/>
    <s v="Male"/>
    <n v="43"/>
    <n v="792.98"/>
    <n v="1061.04"/>
    <n v="34098.14"/>
    <n v="45624.72"/>
    <n v="11526.58"/>
  </r>
  <r>
    <x v="268"/>
    <s v="Priya"/>
    <x v="2"/>
    <x v="4"/>
    <x v="0"/>
    <s v="Male"/>
    <n v="44"/>
    <n v="72.209999999999994"/>
    <n v="79.77"/>
    <n v="3177.24"/>
    <n v="3509.88"/>
    <n v="332.64"/>
  </r>
  <r>
    <x v="237"/>
    <s v="Rohit"/>
    <x v="1"/>
    <x v="3"/>
    <x v="0"/>
    <s v="Male"/>
    <n v="36"/>
    <n v="366.26"/>
    <n v="498.24"/>
    <n v="13185.36"/>
    <n v="17936.64"/>
    <n v="4751.28"/>
  </r>
  <r>
    <x v="0"/>
    <s v="Priya"/>
    <x v="1"/>
    <x v="2"/>
    <x v="0"/>
    <s v="Male"/>
    <n v="11"/>
    <n v="670.97"/>
    <n v="990.2"/>
    <n v="7380.67"/>
    <n v="10892.2"/>
    <n v="3511.53"/>
  </r>
  <r>
    <x v="60"/>
    <s v="Rohit"/>
    <x v="1"/>
    <x v="3"/>
    <x v="1"/>
    <s v="Female"/>
    <n v="41"/>
    <n v="626.54"/>
    <n v="720.37"/>
    <n v="25688.14"/>
    <n v="29535.17"/>
    <n v="3847.03"/>
  </r>
  <r>
    <x v="269"/>
    <s v="Ankit"/>
    <x v="2"/>
    <x v="8"/>
    <x v="5"/>
    <s v="Male"/>
    <n v="13"/>
    <n v="732.6"/>
    <n v="1070.6400000000001"/>
    <n v="9523.7999999999993"/>
    <n v="13918.32"/>
    <n v="4394.5200000000004"/>
  </r>
  <r>
    <x v="126"/>
    <s v="Sneha"/>
    <x v="2"/>
    <x v="4"/>
    <x v="1"/>
    <s v="Female"/>
    <n v="33"/>
    <n v="150.66999999999999"/>
    <n v="219.8"/>
    <n v="4972.1099999999997"/>
    <n v="7253.4"/>
    <n v="2281.29"/>
  </r>
  <r>
    <x v="270"/>
    <s v="Priya"/>
    <x v="0"/>
    <x v="9"/>
    <x v="0"/>
    <s v="Male"/>
    <n v="48"/>
    <n v="317.22000000000003"/>
    <n v="375.46"/>
    <n v="15226.56"/>
    <n v="18022.080000000002"/>
    <n v="2795.52"/>
  </r>
  <r>
    <x v="195"/>
    <s v="Ankit"/>
    <x v="0"/>
    <x v="9"/>
    <x v="2"/>
    <s v="Male"/>
    <n v="33"/>
    <n v="502.21"/>
    <n v="635.91999999999996"/>
    <n v="16572.93"/>
    <n v="20985.360000000001"/>
    <n v="4412.43"/>
  </r>
  <r>
    <x v="8"/>
    <s v="Neha"/>
    <x v="3"/>
    <x v="11"/>
    <x v="2"/>
    <s v="Male"/>
    <n v="13"/>
    <n v="355.45"/>
    <n v="520"/>
    <n v="4620.8500000000004"/>
    <n v="6760"/>
    <n v="2139.15"/>
  </r>
  <r>
    <x v="271"/>
    <s v="Pooja"/>
    <x v="0"/>
    <x v="9"/>
    <x v="4"/>
    <s v="Female"/>
    <n v="49"/>
    <n v="582.51"/>
    <n v="682.01"/>
    <n v="28542.99"/>
    <n v="33418.49"/>
    <n v="4875.5"/>
  </r>
  <r>
    <x v="234"/>
    <s v="Pooja"/>
    <x v="3"/>
    <x v="5"/>
    <x v="3"/>
    <s v="Female"/>
    <n v="7"/>
    <n v="228.13"/>
    <n v="340.78"/>
    <n v="1596.91"/>
    <n v="2385.46"/>
    <n v="788.55"/>
  </r>
  <r>
    <x v="272"/>
    <s v="Pooja"/>
    <x v="1"/>
    <x v="3"/>
    <x v="3"/>
    <s v="Male"/>
    <n v="32"/>
    <n v="847.82"/>
    <n v="1138.31"/>
    <n v="27130.240000000002"/>
    <n v="36425.919999999998"/>
    <n v="9295.68"/>
  </r>
  <r>
    <x v="228"/>
    <s v="Ankit"/>
    <x v="3"/>
    <x v="11"/>
    <x v="3"/>
    <s v="Male"/>
    <n v="42"/>
    <n v="55.41"/>
    <n v="62.44"/>
    <n v="2327.2199999999998"/>
    <n v="2622.48"/>
    <n v="295.26"/>
  </r>
  <r>
    <x v="198"/>
    <s v="Sneha"/>
    <x v="1"/>
    <x v="3"/>
    <x v="0"/>
    <s v="Male"/>
    <n v="18"/>
    <n v="98.57"/>
    <n v="117.37"/>
    <n v="1774.26"/>
    <n v="2112.66"/>
    <n v="338.4"/>
  </r>
  <r>
    <x v="8"/>
    <s v="Pooja"/>
    <x v="1"/>
    <x v="1"/>
    <x v="3"/>
    <s v="Male"/>
    <n v="25"/>
    <n v="94.83"/>
    <n v="133.91"/>
    <n v="2370.75"/>
    <n v="3347.75"/>
    <n v="977"/>
  </r>
  <r>
    <x v="150"/>
    <s v="Neha"/>
    <x v="2"/>
    <x v="8"/>
    <x v="1"/>
    <s v="Female"/>
    <n v="39"/>
    <n v="777.88"/>
    <n v="935.1"/>
    <n v="30337.32"/>
    <n v="36468.9"/>
    <n v="6131.58"/>
  </r>
  <r>
    <x v="273"/>
    <s v="Priya"/>
    <x v="0"/>
    <x v="0"/>
    <x v="0"/>
    <s v="Male"/>
    <n v="27"/>
    <n v="233.09"/>
    <n v="281.62"/>
    <n v="6293.43"/>
    <n v="7603.74"/>
    <n v="1310.31"/>
  </r>
  <r>
    <x v="71"/>
    <s v="Priya"/>
    <x v="3"/>
    <x v="6"/>
    <x v="1"/>
    <s v="Female"/>
    <n v="15"/>
    <n v="388.5"/>
    <n v="565.84"/>
    <n v="5827.5"/>
    <n v="8487.6"/>
    <n v="2660.1"/>
  </r>
  <r>
    <x v="274"/>
    <s v="Neha"/>
    <x v="2"/>
    <x v="7"/>
    <x v="2"/>
    <s v="Male"/>
    <n v="44"/>
    <n v="706.17"/>
    <n v="784.77"/>
    <n v="31071.48"/>
    <n v="34529.879999999997"/>
    <n v="3458.4"/>
  </r>
  <r>
    <x v="150"/>
    <s v="Pooja"/>
    <x v="3"/>
    <x v="6"/>
    <x v="1"/>
    <s v="Male"/>
    <n v="6"/>
    <n v="715.1"/>
    <n v="828.94"/>
    <n v="4290.6000000000004"/>
    <n v="4973.6400000000003"/>
    <n v="683.04"/>
  </r>
  <r>
    <x v="252"/>
    <s v="Pooja"/>
    <x v="1"/>
    <x v="2"/>
    <x v="5"/>
    <s v="Male"/>
    <n v="40"/>
    <n v="154.86000000000001"/>
    <n v="185.9"/>
    <n v="6194.4"/>
    <n v="7436"/>
    <n v="1241.5999999999999"/>
  </r>
  <r>
    <x v="220"/>
    <s v="Pooja"/>
    <x v="0"/>
    <x v="0"/>
    <x v="5"/>
    <s v="Male"/>
    <n v="12"/>
    <n v="609.22"/>
    <n v="766.69"/>
    <n v="7310.64"/>
    <n v="9200.2800000000007"/>
    <n v="1889.64"/>
  </r>
  <r>
    <x v="8"/>
    <s v="Amit"/>
    <x v="3"/>
    <x v="5"/>
    <x v="0"/>
    <s v="Female"/>
    <n v="2"/>
    <n v="982.63"/>
    <n v="1406.19"/>
    <n v="1965.26"/>
    <n v="2812.38"/>
    <n v="847.12"/>
  </r>
  <r>
    <x v="77"/>
    <s v="Amit"/>
    <x v="3"/>
    <x v="11"/>
    <x v="1"/>
    <s v="Female"/>
    <n v="42"/>
    <n v="384.08"/>
    <n v="554.23"/>
    <n v="16131.36"/>
    <n v="23277.66"/>
    <n v="7146.3"/>
  </r>
  <r>
    <x v="78"/>
    <s v="Amit"/>
    <x v="3"/>
    <x v="6"/>
    <x v="3"/>
    <s v="Male"/>
    <n v="47"/>
    <n v="772.61"/>
    <n v="1097.47"/>
    <n v="36312.67"/>
    <n v="51581.09"/>
    <n v="15268.42"/>
  </r>
  <r>
    <x v="248"/>
    <s v="Kiran"/>
    <x v="0"/>
    <x v="0"/>
    <x v="0"/>
    <s v="Male"/>
    <n v="21"/>
    <n v="205.36"/>
    <n v="241.06"/>
    <n v="4312.5600000000004"/>
    <n v="5062.26"/>
    <n v="749.7"/>
  </r>
  <r>
    <x v="275"/>
    <s v="Neha"/>
    <x v="2"/>
    <x v="8"/>
    <x v="2"/>
    <s v="Male"/>
    <n v="8"/>
    <n v="361.08"/>
    <n v="516.52"/>
    <n v="2888.64"/>
    <n v="4132.16"/>
    <n v="1243.52"/>
  </r>
  <r>
    <x v="276"/>
    <s v="Kiran"/>
    <x v="3"/>
    <x v="11"/>
    <x v="3"/>
    <s v="Female"/>
    <n v="2"/>
    <n v="970.5"/>
    <n v="1338.86"/>
    <n v="1941"/>
    <n v="2677.72"/>
    <n v="736.72"/>
  </r>
  <r>
    <x v="218"/>
    <s v="Rohit"/>
    <x v="2"/>
    <x v="7"/>
    <x v="5"/>
    <s v="Male"/>
    <n v="44"/>
    <n v="294.54000000000002"/>
    <n v="343.4"/>
    <n v="12959.76"/>
    <n v="15109.6"/>
    <n v="2149.84"/>
  </r>
  <r>
    <x v="225"/>
    <s v="Ankit"/>
    <x v="0"/>
    <x v="9"/>
    <x v="0"/>
    <s v="Female"/>
    <n v="11"/>
    <n v="741.95"/>
    <n v="1073.42"/>
    <n v="8161.45"/>
    <n v="11807.62"/>
    <n v="3646.17"/>
  </r>
  <r>
    <x v="161"/>
    <s v="Priya"/>
    <x v="0"/>
    <x v="10"/>
    <x v="3"/>
    <s v="Male"/>
    <n v="42"/>
    <n v="247.6"/>
    <n v="346.49"/>
    <n v="10399.200000000001"/>
    <n v="14552.58"/>
    <n v="4153.38"/>
  </r>
  <r>
    <x v="168"/>
    <s v="Neha"/>
    <x v="2"/>
    <x v="4"/>
    <x v="0"/>
    <s v="Male"/>
    <n v="25"/>
    <n v="880.54"/>
    <n v="1114.76"/>
    <n v="22013.5"/>
    <n v="27869"/>
    <n v="5855.5"/>
  </r>
  <r>
    <x v="90"/>
    <s v="Rohit"/>
    <x v="2"/>
    <x v="7"/>
    <x v="0"/>
    <s v="Male"/>
    <n v="47"/>
    <n v="638.01"/>
    <n v="816.25"/>
    <n v="29986.47"/>
    <n v="38363.75"/>
    <n v="8377.2800000000007"/>
  </r>
  <r>
    <x v="49"/>
    <s v="Ankit"/>
    <x v="2"/>
    <x v="8"/>
    <x v="1"/>
    <s v="Male"/>
    <n v="31"/>
    <n v="420.29"/>
    <n v="494.1"/>
    <n v="13028.99"/>
    <n v="15317.1"/>
    <n v="2288.11"/>
  </r>
  <r>
    <x v="143"/>
    <s v="Rahul"/>
    <x v="1"/>
    <x v="3"/>
    <x v="2"/>
    <s v="Male"/>
    <n v="38"/>
    <n v="353.73"/>
    <n v="470.02"/>
    <n v="13441.74"/>
    <n v="17860.759999999998"/>
    <n v="4419.0200000000004"/>
  </r>
  <r>
    <x v="127"/>
    <s v="Sneha"/>
    <x v="0"/>
    <x v="10"/>
    <x v="0"/>
    <s v="Female"/>
    <n v="49"/>
    <n v="613.79"/>
    <n v="908.33"/>
    <n v="30075.71"/>
    <n v="44508.17"/>
    <n v="14432.46"/>
  </r>
  <r>
    <x v="166"/>
    <s v="Neha"/>
    <x v="2"/>
    <x v="8"/>
    <x v="2"/>
    <s v="Female"/>
    <n v="8"/>
    <n v="171.34"/>
    <n v="252.4"/>
    <n v="1370.72"/>
    <n v="2019.2"/>
    <n v="648.48"/>
  </r>
  <r>
    <x v="156"/>
    <s v="Pooja"/>
    <x v="2"/>
    <x v="8"/>
    <x v="5"/>
    <s v="Female"/>
    <n v="2"/>
    <n v="941.27"/>
    <n v="1409.58"/>
    <n v="1882.54"/>
    <n v="2819.16"/>
    <n v="936.62"/>
  </r>
  <r>
    <x v="180"/>
    <s v="Rohit"/>
    <x v="3"/>
    <x v="11"/>
    <x v="1"/>
    <s v="Male"/>
    <n v="44"/>
    <n v="112.9"/>
    <n v="157.27000000000001"/>
    <n v="4967.6000000000004"/>
    <n v="6919.88"/>
    <n v="1952.28"/>
  </r>
  <r>
    <x v="94"/>
    <s v="Sneha"/>
    <x v="0"/>
    <x v="0"/>
    <x v="2"/>
    <s v="Female"/>
    <n v="40"/>
    <n v="964.57"/>
    <n v="1439.89"/>
    <n v="38582.800000000003"/>
    <n v="57595.6"/>
    <n v="19012.8"/>
  </r>
  <r>
    <x v="77"/>
    <s v="Rahul"/>
    <x v="2"/>
    <x v="7"/>
    <x v="0"/>
    <s v="Male"/>
    <n v="1"/>
    <n v="213.05"/>
    <n v="291.5"/>
    <n v="213.05"/>
    <n v="291.5"/>
    <n v="78.45"/>
  </r>
  <r>
    <x v="277"/>
    <s v="Neha"/>
    <x v="2"/>
    <x v="8"/>
    <x v="4"/>
    <s v="Female"/>
    <n v="11"/>
    <n v="107.18"/>
    <n v="146.97"/>
    <n v="1178.98"/>
    <n v="1616.67"/>
    <n v="437.69"/>
  </r>
  <r>
    <x v="37"/>
    <s v="Vikas"/>
    <x v="0"/>
    <x v="9"/>
    <x v="1"/>
    <s v="Male"/>
    <n v="7"/>
    <n v="767.88"/>
    <n v="872.56"/>
    <n v="5375.16"/>
    <n v="6107.92"/>
    <n v="732.76"/>
  </r>
  <r>
    <x v="119"/>
    <s v="Neha"/>
    <x v="1"/>
    <x v="1"/>
    <x v="4"/>
    <s v="Female"/>
    <n v="10"/>
    <n v="97.1"/>
    <n v="113.87"/>
    <n v="971"/>
    <n v="1138.7"/>
    <n v="167.7"/>
  </r>
  <r>
    <x v="222"/>
    <s v="Amit"/>
    <x v="1"/>
    <x v="2"/>
    <x v="2"/>
    <s v="Female"/>
    <n v="5"/>
    <n v="749.98"/>
    <n v="962.98"/>
    <n v="3749.9"/>
    <n v="4814.8999999999996"/>
    <n v="1065"/>
  </r>
  <r>
    <x v="224"/>
    <s v="Rahul"/>
    <x v="3"/>
    <x v="11"/>
    <x v="0"/>
    <s v="Female"/>
    <n v="45"/>
    <n v="697.75"/>
    <n v="779.74"/>
    <n v="31398.75"/>
    <n v="35088.300000000003"/>
    <n v="3689.55"/>
  </r>
  <r>
    <x v="278"/>
    <s v="Kiran"/>
    <x v="0"/>
    <x v="10"/>
    <x v="4"/>
    <s v="Female"/>
    <n v="5"/>
    <n v="463.64"/>
    <n v="632.03"/>
    <n v="2318.1999999999998"/>
    <n v="3160.15"/>
    <n v="841.95"/>
  </r>
  <r>
    <x v="278"/>
    <s v="Amit"/>
    <x v="0"/>
    <x v="10"/>
    <x v="4"/>
    <s v="Male"/>
    <n v="28"/>
    <n v="548.98"/>
    <n v="780.72"/>
    <n v="15371.44"/>
    <n v="21860.16"/>
    <n v="6488.72"/>
  </r>
  <r>
    <x v="279"/>
    <s v="Priya"/>
    <x v="0"/>
    <x v="0"/>
    <x v="0"/>
    <s v="Male"/>
    <n v="37"/>
    <n v="576.92999999999995"/>
    <n v="769.79"/>
    <n v="21346.41"/>
    <n v="28482.23"/>
    <n v="7135.82"/>
  </r>
  <r>
    <x v="23"/>
    <s v="Rohit"/>
    <x v="1"/>
    <x v="3"/>
    <x v="1"/>
    <s v="Female"/>
    <n v="29"/>
    <n v="200.96"/>
    <n v="292.58"/>
    <n v="5827.84"/>
    <n v="8484.82"/>
    <n v="2656.98"/>
  </r>
  <r>
    <x v="162"/>
    <s v="Vikas"/>
    <x v="2"/>
    <x v="4"/>
    <x v="2"/>
    <s v="Female"/>
    <n v="49"/>
    <n v="226.13"/>
    <n v="265.8"/>
    <n v="11080.37"/>
    <n v="13024.2"/>
    <n v="1943.83"/>
  </r>
  <r>
    <x v="50"/>
    <s v="Rohit"/>
    <x v="1"/>
    <x v="3"/>
    <x v="3"/>
    <s v="Male"/>
    <n v="15"/>
    <n v="879.18"/>
    <n v="1043.49"/>
    <n v="13187.7"/>
    <n v="15652.35"/>
    <n v="2464.65"/>
  </r>
  <r>
    <x v="48"/>
    <s v="Rahul"/>
    <x v="3"/>
    <x v="5"/>
    <x v="1"/>
    <s v="Female"/>
    <n v="39"/>
    <n v="396.73"/>
    <n v="484.16"/>
    <n v="15472.47"/>
    <n v="18882.240000000002"/>
    <n v="3409.77"/>
  </r>
  <r>
    <x v="100"/>
    <s v="Sneha"/>
    <x v="2"/>
    <x v="8"/>
    <x v="2"/>
    <s v="Female"/>
    <n v="23"/>
    <n v="587.66999999999996"/>
    <n v="778.05"/>
    <n v="13516.41"/>
    <n v="17895.150000000001"/>
    <n v="4378.74"/>
  </r>
  <r>
    <x v="146"/>
    <s v="Ankit"/>
    <x v="3"/>
    <x v="5"/>
    <x v="5"/>
    <s v="Female"/>
    <n v="43"/>
    <n v="818.18"/>
    <n v="1121.48"/>
    <n v="35181.74"/>
    <n v="48223.64"/>
    <n v="13041.9"/>
  </r>
  <r>
    <x v="73"/>
    <s v="Sneha"/>
    <x v="2"/>
    <x v="4"/>
    <x v="1"/>
    <s v="Male"/>
    <n v="24"/>
    <n v="586.13"/>
    <n v="795.53"/>
    <n v="14067.12"/>
    <n v="19092.72"/>
    <n v="5025.6000000000004"/>
  </r>
  <r>
    <x v="234"/>
    <s v="Neha"/>
    <x v="1"/>
    <x v="1"/>
    <x v="1"/>
    <s v="Female"/>
    <n v="7"/>
    <n v="73.58"/>
    <n v="87.83"/>
    <n v="515.05999999999995"/>
    <n v="614.80999999999995"/>
    <n v="99.75"/>
  </r>
  <r>
    <x v="134"/>
    <s v="Sneha"/>
    <x v="2"/>
    <x v="8"/>
    <x v="2"/>
    <s v="Male"/>
    <n v="30"/>
    <n v="818.46"/>
    <n v="1128.58"/>
    <n v="24553.8"/>
    <n v="33857.4"/>
    <n v="9303.6"/>
  </r>
  <r>
    <x v="184"/>
    <s v="Ankit"/>
    <x v="2"/>
    <x v="8"/>
    <x v="2"/>
    <s v="Female"/>
    <n v="21"/>
    <n v="88.12"/>
    <n v="119.6"/>
    <n v="1850.52"/>
    <n v="2511.6"/>
    <n v="661.08"/>
  </r>
  <r>
    <x v="270"/>
    <s v="Rahul"/>
    <x v="1"/>
    <x v="1"/>
    <x v="1"/>
    <s v="Female"/>
    <n v="47"/>
    <n v="495"/>
    <n v="726.69"/>
    <n v="23265"/>
    <n v="34154.43"/>
    <n v="10889.43"/>
  </r>
  <r>
    <x v="239"/>
    <s v="Priya"/>
    <x v="1"/>
    <x v="2"/>
    <x v="2"/>
    <s v="Female"/>
    <n v="21"/>
    <n v="365.32"/>
    <n v="542.85"/>
    <n v="7671.72"/>
    <n v="11399.85"/>
    <n v="3728.13"/>
  </r>
  <r>
    <x v="280"/>
    <s v="Ankit"/>
    <x v="1"/>
    <x v="1"/>
    <x v="4"/>
    <s v="Male"/>
    <n v="39"/>
    <n v="206.52"/>
    <n v="261.14"/>
    <n v="8054.28"/>
    <n v="10184.459999999999"/>
    <n v="2130.1799999999998"/>
  </r>
  <r>
    <x v="21"/>
    <s v="Rohit"/>
    <x v="0"/>
    <x v="10"/>
    <x v="4"/>
    <s v="Male"/>
    <n v="45"/>
    <n v="864.28"/>
    <n v="1094.99"/>
    <n v="38892.6"/>
    <n v="49274.55"/>
    <n v="10381.950000000001"/>
  </r>
  <r>
    <x v="244"/>
    <s v="Ankit"/>
    <x v="0"/>
    <x v="0"/>
    <x v="2"/>
    <s v="Male"/>
    <n v="38"/>
    <n v="955.32"/>
    <n v="1145.0899999999999"/>
    <n v="36302.160000000003"/>
    <n v="43513.42"/>
    <n v="7211.26"/>
  </r>
  <r>
    <x v="97"/>
    <s v="Amit"/>
    <x v="3"/>
    <x v="11"/>
    <x v="3"/>
    <s v="Female"/>
    <n v="25"/>
    <n v="565.80999999999995"/>
    <n v="801.87"/>
    <n v="14145.25"/>
    <n v="20046.75"/>
    <n v="5901.5"/>
  </r>
  <r>
    <x v="281"/>
    <s v="Ankit"/>
    <x v="0"/>
    <x v="9"/>
    <x v="5"/>
    <s v="Female"/>
    <n v="22"/>
    <n v="568.41999999999996"/>
    <n v="786.69"/>
    <n v="12505.24"/>
    <n v="17307.18"/>
    <n v="4801.9399999999996"/>
  </r>
  <r>
    <x v="25"/>
    <s v="Sneha"/>
    <x v="1"/>
    <x v="2"/>
    <x v="5"/>
    <s v="Male"/>
    <n v="27"/>
    <n v="604.36"/>
    <n v="886.39"/>
    <n v="16317.72"/>
    <n v="23932.53"/>
    <n v="7614.81"/>
  </r>
  <r>
    <x v="117"/>
    <s v="Vikas"/>
    <x v="0"/>
    <x v="0"/>
    <x v="3"/>
    <s v="Female"/>
    <n v="19"/>
    <n v="264.38"/>
    <n v="319.79000000000002"/>
    <n v="5023.22"/>
    <n v="6076.01"/>
    <n v="1052.79"/>
  </r>
  <r>
    <x v="282"/>
    <s v="Sneha"/>
    <x v="0"/>
    <x v="9"/>
    <x v="2"/>
    <s v="Male"/>
    <n v="11"/>
    <n v="825.96"/>
    <n v="938.17"/>
    <n v="9085.56"/>
    <n v="10319.870000000001"/>
    <n v="1234.31"/>
  </r>
  <r>
    <x v="115"/>
    <s v="Neha"/>
    <x v="0"/>
    <x v="0"/>
    <x v="2"/>
    <s v="Male"/>
    <n v="43"/>
    <n v="408.74"/>
    <n v="449.91"/>
    <n v="17575.82"/>
    <n v="19346.13"/>
    <n v="1770.31"/>
  </r>
  <r>
    <x v="56"/>
    <s v="Amit"/>
    <x v="2"/>
    <x v="4"/>
    <x v="5"/>
    <s v="Male"/>
    <n v="31"/>
    <n v="780.46"/>
    <n v="1152.8599999999999"/>
    <n v="24194.26"/>
    <n v="35738.660000000003"/>
    <n v="11544.4"/>
  </r>
  <r>
    <x v="169"/>
    <s v="Sneha"/>
    <x v="1"/>
    <x v="3"/>
    <x v="5"/>
    <s v="Male"/>
    <n v="19"/>
    <n v="234.45"/>
    <n v="332.99"/>
    <n v="4454.55"/>
    <n v="6326.81"/>
    <n v="1872.26"/>
  </r>
  <r>
    <x v="20"/>
    <s v="Ankit"/>
    <x v="1"/>
    <x v="2"/>
    <x v="3"/>
    <s v="Male"/>
    <n v="36"/>
    <n v="566.9"/>
    <n v="666.53"/>
    <n v="20408.400000000001"/>
    <n v="23995.08"/>
    <n v="3586.68"/>
  </r>
  <r>
    <x v="171"/>
    <s v="Kiran"/>
    <x v="3"/>
    <x v="11"/>
    <x v="1"/>
    <s v="Female"/>
    <n v="4"/>
    <n v="509.85"/>
    <n v="762.61"/>
    <n v="2039.4"/>
    <n v="3050.44"/>
    <n v="1011.04"/>
  </r>
  <r>
    <x v="283"/>
    <s v="Vikas"/>
    <x v="0"/>
    <x v="9"/>
    <x v="2"/>
    <s v="Male"/>
    <n v="47"/>
    <n v="75.239999999999995"/>
    <n v="104.98"/>
    <n v="3536.28"/>
    <n v="4934.0600000000004"/>
    <n v="1397.78"/>
  </r>
  <r>
    <x v="174"/>
    <s v="Amit"/>
    <x v="2"/>
    <x v="8"/>
    <x v="0"/>
    <s v="Female"/>
    <n v="20"/>
    <n v="174.85"/>
    <n v="197.91"/>
    <n v="3497"/>
    <n v="3958.2"/>
    <n v="461.2"/>
  </r>
  <r>
    <x v="284"/>
    <s v="Neha"/>
    <x v="1"/>
    <x v="3"/>
    <x v="2"/>
    <s v="Male"/>
    <n v="36"/>
    <n v="498.61"/>
    <n v="586.63"/>
    <n v="17949.96"/>
    <n v="21118.68"/>
    <n v="3168.72"/>
  </r>
  <r>
    <x v="285"/>
    <s v="Rohit"/>
    <x v="3"/>
    <x v="6"/>
    <x v="3"/>
    <s v="Female"/>
    <n v="16"/>
    <n v="597.57000000000005"/>
    <n v="770.85"/>
    <n v="9561.1200000000008"/>
    <n v="12333.6"/>
    <n v="2772.48"/>
  </r>
  <r>
    <x v="85"/>
    <s v="Vikas"/>
    <x v="0"/>
    <x v="9"/>
    <x v="5"/>
    <s v="Male"/>
    <n v="30"/>
    <n v="433.51"/>
    <n v="534.30999999999995"/>
    <n v="13005.3"/>
    <n v="16029.3"/>
    <n v="3024"/>
  </r>
  <r>
    <x v="149"/>
    <s v="Priya"/>
    <x v="3"/>
    <x v="11"/>
    <x v="0"/>
    <s v="Female"/>
    <n v="48"/>
    <n v="555.54"/>
    <n v="713.5"/>
    <n v="26665.919999999998"/>
    <n v="34248"/>
    <n v="7582.08"/>
  </r>
  <r>
    <x v="14"/>
    <s v="Amit"/>
    <x v="2"/>
    <x v="8"/>
    <x v="1"/>
    <s v="Male"/>
    <n v="12"/>
    <n v="223.71"/>
    <n v="271.79000000000002"/>
    <n v="2684.52"/>
    <n v="3261.48"/>
    <n v="576.96"/>
  </r>
  <r>
    <x v="139"/>
    <s v="Sneha"/>
    <x v="3"/>
    <x v="11"/>
    <x v="1"/>
    <s v="Male"/>
    <n v="42"/>
    <n v="859.26"/>
    <n v="1103.6400000000001"/>
    <n v="36088.92"/>
    <n v="46352.88"/>
    <n v="10263.959999999999"/>
  </r>
  <r>
    <x v="286"/>
    <s v="Kiran"/>
    <x v="1"/>
    <x v="1"/>
    <x v="1"/>
    <s v="Male"/>
    <n v="32"/>
    <n v="82.64"/>
    <n v="99.59"/>
    <n v="2644.48"/>
    <n v="3186.88"/>
    <n v="542.4"/>
  </r>
  <r>
    <x v="239"/>
    <s v="Ankit"/>
    <x v="0"/>
    <x v="9"/>
    <x v="1"/>
    <s v="Female"/>
    <n v="50"/>
    <n v="260.42"/>
    <n v="354.09"/>
    <n v="13021"/>
    <n v="17704.5"/>
    <n v="4683.5"/>
  </r>
  <r>
    <x v="287"/>
    <s v="Sneha"/>
    <x v="1"/>
    <x v="3"/>
    <x v="4"/>
    <s v="Male"/>
    <n v="43"/>
    <n v="500.81"/>
    <n v="690.09"/>
    <n v="21534.83"/>
    <n v="29673.87"/>
    <n v="8139.04"/>
  </r>
  <r>
    <x v="57"/>
    <s v="Vikas"/>
    <x v="1"/>
    <x v="2"/>
    <x v="5"/>
    <s v="Female"/>
    <n v="38"/>
    <n v="830.8"/>
    <n v="1145.58"/>
    <n v="31570.400000000001"/>
    <n v="43532.04"/>
    <n v="11961.64"/>
  </r>
  <r>
    <x v="288"/>
    <s v="Kiran"/>
    <x v="2"/>
    <x v="7"/>
    <x v="1"/>
    <s v="Male"/>
    <n v="16"/>
    <n v="155.16999999999999"/>
    <n v="230.56"/>
    <n v="2482.7199999999998"/>
    <n v="3688.96"/>
    <n v="1206.24"/>
  </r>
  <r>
    <x v="281"/>
    <s v="Pooja"/>
    <x v="3"/>
    <x v="5"/>
    <x v="2"/>
    <s v="Male"/>
    <n v="48"/>
    <n v="993.53"/>
    <n v="1148.43"/>
    <n v="47689.440000000002"/>
    <n v="55124.639999999999"/>
    <n v="7435.2"/>
  </r>
  <r>
    <x v="245"/>
    <s v="Vikas"/>
    <x v="1"/>
    <x v="2"/>
    <x v="2"/>
    <s v="Female"/>
    <n v="36"/>
    <n v="284.10000000000002"/>
    <n v="340.14"/>
    <n v="10227.6"/>
    <n v="12245.04"/>
    <n v="2017.44"/>
  </r>
  <r>
    <x v="187"/>
    <s v="Kiran"/>
    <x v="2"/>
    <x v="8"/>
    <x v="0"/>
    <s v="Male"/>
    <n v="33"/>
    <n v="151.78"/>
    <n v="177.75"/>
    <n v="5008.74"/>
    <n v="5865.75"/>
    <n v="857.01"/>
  </r>
  <r>
    <x v="289"/>
    <s v="Priya"/>
    <x v="1"/>
    <x v="3"/>
    <x v="2"/>
    <s v="Male"/>
    <n v="39"/>
    <n v="216.22"/>
    <n v="289.25"/>
    <n v="8432.58"/>
    <n v="11280.75"/>
    <n v="2848.17"/>
  </r>
  <r>
    <x v="290"/>
    <s v="Kiran"/>
    <x v="1"/>
    <x v="1"/>
    <x v="2"/>
    <s v="Male"/>
    <n v="33"/>
    <n v="311.01"/>
    <n v="423.72"/>
    <n v="10263.33"/>
    <n v="13982.76"/>
    <n v="3719.43"/>
  </r>
  <r>
    <x v="185"/>
    <s v="Rohit"/>
    <x v="0"/>
    <x v="9"/>
    <x v="3"/>
    <s v="Male"/>
    <n v="28"/>
    <n v="566.99"/>
    <n v="657.87"/>
    <n v="15875.72"/>
    <n v="18420.36"/>
    <n v="2544.64"/>
  </r>
  <r>
    <x v="180"/>
    <s v="Ankit"/>
    <x v="1"/>
    <x v="2"/>
    <x v="2"/>
    <s v="Female"/>
    <n v="45"/>
    <n v="559.52"/>
    <n v="781.35"/>
    <n v="25178.400000000001"/>
    <n v="35160.75"/>
    <n v="9982.35"/>
  </r>
  <r>
    <x v="221"/>
    <s v="Pooja"/>
    <x v="3"/>
    <x v="5"/>
    <x v="0"/>
    <s v="Female"/>
    <n v="32"/>
    <n v="375.5"/>
    <n v="433.87"/>
    <n v="12016"/>
    <n v="13883.84"/>
    <n v="1867.84"/>
  </r>
  <r>
    <x v="66"/>
    <s v="Sneha"/>
    <x v="0"/>
    <x v="10"/>
    <x v="2"/>
    <s v="Male"/>
    <n v="9"/>
    <n v="437.54"/>
    <n v="630.36"/>
    <n v="3937.86"/>
    <n v="5673.24"/>
    <n v="1735.38"/>
  </r>
  <r>
    <x v="222"/>
    <s v="Sneha"/>
    <x v="3"/>
    <x v="5"/>
    <x v="4"/>
    <s v="Male"/>
    <n v="15"/>
    <n v="138.1"/>
    <n v="191.76"/>
    <n v="2071.5"/>
    <n v="2876.4"/>
    <n v="804.9"/>
  </r>
  <r>
    <x v="291"/>
    <s v="Pooja"/>
    <x v="0"/>
    <x v="0"/>
    <x v="4"/>
    <s v="Female"/>
    <n v="4"/>
    <n v="907.85"/>
    <n v="1143.05"/>
    <n v="3631.4"/>
    <n v="4572.2"/>
    <n v="940.8"/>
  </r>
  <r>
    <x v="292"/>
    <s v="Neha"/>
    <x v="2"/>
    <x v="8"/>
    <x v="3"/>
    <s v="Female"/>
    <n v="49"/>
    <n v="112.42"/>
    <n v="126.57"/>
    <n v="5508.58"/>
    <n v="6201.93"/>
    <n v="693.35"/>
  </r>
  <r>
    <x v="293"/>
    <s v="Sneha"/>
    <x v="1"/>
    <x v="2"/>
    <x v="5"/>
    <s v="Male"/>
    <n v="48"/>
    <n v="428.58"/>
    <n v="581.6"/>
    <n v="20571.84"/>
    <n v="27916.799999999999"/>
    <n v="7344.96"/>
  </r>
  <r>
    <x v="279"/>
    <s v="Sneha"/>
    <x v="2"/>
    <x v="7"/>
    <x v="3"/>
    <s v="Male"/>
    <n v="13"/>
    <n v="498.44"/>
    <n v="582.1"/>
    <n v="6479.72"/>
    <n v="7567.3"/>
    <n v="1087.58"/>
  </r>
  <r>
    <x v="294"/>
    <s v="Pooja"/>
    <x v="3"/>
    <x v="6"/>
    <x v="5"/>
    <s v="Female"/>
    <n v="47"/>
    <n v="833.84"/>
    <n v="1165.03"/>
    <n v="39190.480000000003"/>
    <n v="54756.41"/>
    <n v="15565.93"/>
  </r>
  <r>
    <x v="131"/>
    <s v="Ankit"/>
    <x v="3"/>
    <x v="11"/>
    <x v="5"/>
    <s v="Male"/>
    <n v="20"/>
    <n v="519.71"/>
    <n v="626.96"/>
    <n v="10394.200000000001"/>
    <n v="12539.2"/>
    <n v="2145"/>
  </r>
  <r>
    <x v="44"/>
    <s v="Vikas"/>
    <x v="3"/>
    <x v="11"/>
    <x v="0"/>
    <s v="Female"/>
    <n v="29"/>
    <n v="941.34"/>
    <n v="1103.8800000000001"/>
    <n v="27298.86"/>
    <n v="32012.52"/>
    <n v="4713.66"/>
  </r>
  <r>
    <x v="131"/>
    <s v="Vikas"/>
    <x v="3"/>
    <x v="6"/>
    <x v="1"/>
    <s v="Male"/>
    <n v="23"/>
    <n v="426.41"/>
    <n v="576.11"/>
    <n v="9807.43"/>
    <n v="13250.53"/>
    <n v="3443.1"/>
  </r>
  <r>
    <x v="173"/>
    <s v="Rohit"/>
    <x v="1"/>
    <x v="2"/>
    <x v="3"/>
    <s v="Male"/>
    <n v="24"/>
    <n v="131.06"/>
    <n v="149.51"/>
    <n v="3145.44"/>
    <n v="3588.24"/>
    <n v="442.8"/>
  </r>
  <r>
    <x v="197"/>
    <s v="Priya"/>
    <x v="1"/>
    <x v="3"/>
    <x v="3"/>
    <s v="Female"/>
    <n v="45"/>
    <n v="74.63"/>
    <n v="89.24"/>
    <n v="3358.35"/>
    <n v="4015.8"/>
    <n v="657.45"/>
  </r>
  <r>
    <x v="46"/>
    <s v="Neha"/>
    <x v="0"/>
    <x v="9"/>
    <x v="3"/>
    <s v="Female"/>
    <n v="33"/>
    <n v="248.55"/>
    <n v="293.92"/>
    <n v="8202.15"/>
    <n v="9699.36"/>
    <n v="1497.21"/>
  </r>
  <r>
    <x v="105"/>
    <s v="Ankit"/>
    <x v="3"/>
    <x v="11"/>
    <x v="3"/>
    <s v="Female"/>
    <n v="34"/>
    <n v="70.63"/>
    <n v="87.39"/>
    <n v="2401.42"/>
    <n v="2971.26"/>
    <n v="569.84"/>
  </r>
  <r>
    <x v="289"/>
    <s v="Vikas"/>
    <x v="3"/>
    <x v="11"/>
    <x v="5"/>
    <s v="Male"/>
    <n v="24"/>
    <n v="997.78"/>
    <n v="1301.43"/>
    <n v="23946.720000000001"/>
    <n v="31234.32"/>
    <n v="7287.6"/>
  </r>
  <r>
    <x v="108"/>
    <s v="Neha"/>
    <x v="0"/>
    <x v="9"/>
    <x v="5"/>
    <s v="Male"/>
    <n v="13"/>
    <n v="820.37"/>
    <n v="1222.68"/>
    <n v="10664.81"/>
    <n v="15894.84"/>
    <n v="5230.03"/>
  </r>
  <r>
    <x v="160"/>
    <s v="Vikas"/>
    <x v="1"/>
    <x v="3"/>
    <x v="3"/>
    <s v="Male"/>
    <n v="24"/>
    <n v="851.12"/>
    <n v="961.42"/>
    <n v="20426.88"/>
    <n v="23074.080000000002"/>
    <n v="2647.2"/>
  </r>
  <r>
    <x v="204"/>
    <s v="Priya"/>
    <x v="2"/>
    <x v="4"/>
    <x v="0"/>
    <s v="Male"/>
    <n v="1"/>
    <n v="130.04"/>
    <n v="148.41999999999999"/>
    <n v="130.04"/>
    <n v="148.41999999999999"/>
    <n v="18.38"/>
  </r>
  <r>
    <x v="276"/>
    <s v="Rahul"/>
    <x v="2"/>
    <x v="4"/>
    <x v="4"/>
    <s v="Male"/>
    <n v="42"/>
    <n v="839.06"/>
    <n v="1138.02"/>
    <n v="35240.519999999997"/>
    <n v="47796.84"/>
    <n v="12556.32"/>
  </r>
  <r>
    <x v="245"/>
    <s v="Amit"/>
    <x v="1"/>
    <x v="1"/>
    <x v="5"/>
    <s v="Female"/>
    <n v="11"/>
    <n v="820.35"/>
    <n v="1172.98"/>
    <n v="9023.85"/>
    <n v="12902.78"/>
    <n v="3878.93"/>
  </r>
  <r>
    <x v="73"/>
    <s v="Amit"/>
    <x v="0"/>
    <x v="0"/>
    <x v="0"/>
    <s v="Female"/>
    <n v="27"/>
    <n v="649.88"/>
    <n v="743.7"/>
    <n v="17546.759999999998"/>
    <n v="20079.900000000001"/>
    <n v="2533.14"/>
  </r>
  <r>
    <x v="295"/>
    <s v="Rahul"/>
    <x v="1"/>
    <x v="1"/>
    <x v="0"/>
    <s v="Male"/>
    <n v="39"/>
    <n v="505.22"/>
    <n v="662.66"/>
    <n v="19703.580000000002"/>
    <n v="25843.74"/>
    <n v="6140.16"/>
  </r>
  <r>
    <x v="53"/>
    <s v="Neha"/>
    <x v="0"/>
    <x v="0"/>
    <x v="4"/>
    <s v="Male"/>
    <n v="43"/>
    <n v="406.02"/>
    <n v="469.49"/>
    <n v="17458.86"/>
    <n v="20188.07"/>
    <n v="2729.21"/>
  </r>
  <r>
    <x v="175"/>
    <s v="Rahul"/>
    <x v="1"/>
    <x v="2"/>
    <x v="0"/>
    <s v="Male"/>
    <n v="18"/>
    <n v="569.05999999999995"/>
    <n v="718.25"/>
    <n v="10243.08"/>
    <n v="12928.5"/>
    <n v="2685.42"/>
  </r>
  <r>
    <x v="150"/>
    <s v="Kiran"/>
    <x v="2"/>
    <x v="7"/>
    <x v="2"/>
    <s v="Female"/>
    <n v="49"/>
    <n v="835.56"/>
    <n v="992.88"/>
    <n v="40942.44"/>
    <n v="48651.12"/>
    <n v="7708.68"/>
  </r>
  <r>
    <x v="14"/>
    <s v="Priya"/>
    <x v="2"/>
    <x v="8"/>
    <x v="4"/>
    <s v="Male"/>
    <n v="33"/>
    <n v="237.32"/>
    <n v="266.60000000000002"/>
    <n v="7831.56"/>
    <n v="8797.7999999999993"/>
    <n v="966.24"/>
  </r>
  <r>
    <x v="29"/>
    <s v="Rahul"/>
    <x v="0"/>
    <x v="9"/>
    <x v="1"/>
    <s v="Female"/>
    <n v="22"/>
    <n v="422.9"/>
    <n v="466.36"/>
    <n v="9303.7999999999993"/>
    <n v="10259.92"/>
    <n v="956.12"/>
  </r>
  <r>
    <x v="43"/>
    <s v="Sneha"/>
    <x v="1"/>
    <x v="3"/>
    <x v="2"/>
    <s v="Male"/>
    <n v="31"/>
    <n v="582.04999999999995"/>
    <n v="838.93"/>
    <n v="18043.55"/>
    <n v="26006.83"/>
    <n v="7963.28"/>
  </r>
  <r>
    <x v="53"/>
    <s v="Ankit"/>
    <x v="3"/>
    <x v="6"/>
    <x v="4"/>
    <s v="Female"/>
    <n v="12"/>
    <n v="205.46"/>
    <n v="296.44"/>
    <n v="2465.52"/>
    <n v="3557.28"/>
    <n v="1091.76"/>
  </r>
  <r>
    <x v="86"/>
    <s v="Neha"/>
    <x v="0"/>
    <x v="0"/>
    <x v="2"/>
    <s v="Female"/>
    <n v="43"/>
    <n v="619.77"/>
    <n v="850.85"/>
    <n v="26650.11"/>
    <n v="36586.550000000003"/>
    <n v="9936.44"/>
  </r>
  <r>
    <x v="89"/>
    <s v="Priya"/>
    <x v="2"/>
    <x v="8"/>
    <x v="5"/>
    <s v="Female"/>
    <n v="8"/>
    <n v="448.51"/>
    <n v="501.68"/>
    <n v="3588.08"/>
    <n v="4013.44"/>
    <n v="425.36"/>
  </r>
  <r>
    <x v="67"/>
    <s v="Rahul"/>
    <x v="0"/>
    <x v="0"/>
    <x v="2"/>
    <s v="Male"/>
    <n v="18"/>
    <n v="986.11"/>
    <n v="1291.05"/>
    <n v="17749.98"/>
    <n v="23238.9"/>
    <n v="5488.92"/>
  </r>
  <r>
    <x v="296"/>
    <s v="Sneha"/>
    <x v="1"/>
    <x v="3"/>
    <x v="2"/>
    <s v="Male"/>
    <n v="40"/>
    <n v="736.86"/>
    <n v="935.51"/>
    <n v="29474.400000000001"/>
    <n v="37420.400000000001"/>
    <n v="7946"/>
  </r>
  <r>
    <x v="93"/>
    <s v="Ankit"/>
    <x v="2"/>
    <x v="4"/>
    <x v="5"/>
    <s v="Male"/>
    <n v="11"/>
    <n v="178.81"/>
    <n v="225.27"/>
    <n v="1966.91"/>
    <n v="2477.9699999999998"/>
    <n v="511.06"/>
  </r>
  <r>
    <x v="275"/>
    <s v="Neha"/>
    <x v="3"/>
    <x v="5"/>
    <x v="1"/>
    <s v="Female"/>
    <n v="44"/>
    <n v="472.45"/>
    <n v="594.95000000000005"/>
    <n v="20787.8"/>
    <n v="26177.8"/>
    <n v="5390"/>
  </r>
  <r>
    <x v="239"/>
    <s v="Sneha"/>
    <x v="3"/>
    <x v="6"/>
    <x v="3"/>
    <s v="Male"/>
    <n v="29"/>
    <n v="246.41"/>
    <n v="319.89999999999998"/>
    <n v="7145.89"/>
    <n v="9277.1"/>
    <n v="2131.21"/>
  </r>
  <r>
    <x v="166"/>
    <s v="Rohit"/>
    <x v="1"/>
    <x v="3"/>
    <x v="3"/>
    <s v="Male"/>
    <n v="45"/>
    <n v="685.88"/>
    <n v="834.94"/>
    <n v="30864.6"/>
    <n v="37572.300000000003"/>
    <n v="6707.7"/>
  </r>
  <r>
    <x v="297"/>
    <s v="Neha"/>
    <x v="0"/>
    <x v="0"/>
    <x v="3"/>
    <s v="Female"/>
    <n v="1"/>
    <n v="617.11"/>
    <n v="802.03"/>
    <n v="617.11"/>
    <n v="802.03"/>
    <n v="184.92"/>
  </r>
  <r>
    <x v="147"/>
    <s v="Amit"/>
    <x v="1"/>
    <x v="3"/>
    <x v="2"/>
    <s v="Male"/>
    <n v="3"/>
    <n v="383.38"/>
    <n v="474.11"/>
    <n v="1150.1400000000001"/>
    <n v="1422.33"/>
    <n v="272.19"/>
  </r>
  <r>
    <x v="276"/>
    <s v="Kiran"/>
    <x v="1"/>
    <x v="2"/>
    <x v="2"/>
    <s v="Male"/>
    <n v="35"/>
    <n v="518.22"/>
    <n v="619.16999999999996"/>
    <n v="18137.7"/>
    <n v="21670.95"/>
    <n v="3533.25"/>
  </r>
  <r>
    <x v="37"/>
    <s v="Ankit"/>
    <x v="3"/>
    <x v="5"/>
    <x v="4"/>
    <s v="Male"/>
    <n v="13"/>
    <n v="966.73"/>
    <n v="1370.07"/>
    <n v="12567.49"/>
    <n v="17810.91"/>
    <n v="5243.42"/>
  </r>
  <r>
    <x v="273"/>
    <s v="Ankit"/>
    <x v="1"/>
    <x v="3"/>
    <x v="1"/>
    <s v="Male"/>
    <n v="6"/>
    <n v="330.4"/>
    <n v="372.13"/>
    <n v="1982.4"/>
    <n v="2232.7800000000002"/>
    <n v="250.38"/>
  </r>
  <r>
    <x v="89"/>
    <s v="Amit"/>
    <x v="1"/>
    <x v="3"/>
    <x v="5"/>
    <s v="Female"/>
    <n v="32"/>
    <n v="209.63"/>
    <n v="232.65"/>
    <n v="6708.16"/>
    <n v="7444.8"/>
    <n v="736.64"/>
  </r>
  <r>
    <x v="35"/>
    <s v="Kiran"/>
    <x v="2"/>
    <x v="8"/>
    <x v="1"/>
    <s v="Female"/>
    <n v="25"/>
    <n v="373.1"/>
    <n v="506.73"/>
    <n v="9327.5"/>
    <n v="12668.25"/>
    <n v="3340.75"/>
  </r>
  <r>
    <x v="159"/>
    <s v="Rahul"/>
    <x v="3"/>
    <x v="5"/>
    <x v="1"/>
    <s v="Male"/>
    <n v="43"/>
    <n v="117.6"/>
    <n v="166.76"/>
    <n v="5056.8"/>
    <n v="7170.68"/>
    <n v="2113.88"/>
  </r>
  <r>
    <x v="93"/>
    <s v="Neha"/>
    <x v="0"/>
    <x v="0"/>
    <x v="2"/>
    <s v="Male"/>
    <n v="5"/>
    <n v="592.79"/>
    <n v="713.12"/>
    <n v="2963.95"/>
    <n v="3565.6"/>
    <n v="601.65"/>
  </r>
  <r>
    <x v="265"/>
    <s v="Sneha"/>
    <x v="1"/>
    <x v="1"/>
    <x v="3"/>
    <s v="Male"/>
    <n v="45"/>
    <n v="895.91"/>
    <n v="1175.99"/>
    <n v="40315.949999999997"/>
    <n v="52919.55"/>
    <n v="12603.6"/>
  </r>
  <r>
    <x v="298"/>
    <s v="Vikas"/>
    <x v="3"/>
    <x v="6"/>
    <x v="2"/>
    <s v="Female"/>
    <n v="15"/>
    <n v="477.97"/>
    <n v="532.51"/>
    <n v="7169.55"/>
    <n v="7987.65"/>
    <n v="818.1"/>
  </r>
  <r>
    <x v="106"/>
    <s v="Ankit"/>
    <x v="0"/>
    <x v="9"/>
    <x v="2"/>
    <s v="Male"/>
    <n v="28"/>
    <n v="136.96"/>
    <n v="196.5"/>
    <n v="3834.88"/>
    <n v="5502"/>
    <n v="1667.12"/>
  </r>
  <r>
    <x v="299"/>
    <s v="Kiran"/>
    <x v="0"/>
    <x v="9"/>
    <x v="3"/>
    <s v="Male"/>
    <n v="3"/>
    <n v="460.36"/>
    <n v="672.24"/>
    <n v="1381.08"/>
    <n v="2016.72"/>
    <n v="635.64"/>
  </r>
  <r>
    <x v="210"/>
    <s v="Ankit"/>
    <x v="3"/>
    <x v="11"/>
    <x v="4"/>
    <s v="Female"/>
    <n v="32"/>
    <n v="243.47"/>
    <n v="269.39"/>
    <n v="7791.04"/>
    <n v="8620.48"/>
    <n v="829.44"/>
  </r>
  <r>
    <x v="224"/>
    <s v="Amit"/>
    <x v="3"/>
    <x v="6"/>
    <x v="2"/>
    <s v="Female"/>
    <n v="28"/>
    <n v="903.74"/>
    <n v="1212.78"/>
    <n v="25304.720000000001"/>
    <n v="33957.839999999997"/>
    <n v="8653.1200000000008"/>
  </r>
  <r>
    <x v="196"/>
    <s v="Priya"/>
    <x v="1"/>
    <x v="1"/>
    <x v="0"/>
    <s v="Female"/>
    <n v="45"/>
    <n v="230.99"/>
    <n v="326.60000000000002"/>
    <n v="10394.549999999999"/>
    <n v="14697"/>
    <n v="4302.45"/>
  </r>
  <r>
    <x v="88"/>
    <s v="Rohit"/>
    <x v="2"/>
    <x v="4"/>
    <x v="4"/>
    <s v="Male"/>
    <n v="17"/>
    <n v="952.66"/>
    <n v="1425.91"/>
    <n v="16195.22"/>
    <n v="24240.47"/>
    <n v="8045.25"/>
  </r>
  <r>
    <x v="248"/>
    <s v="Pooja"/>
    <x v="2"/>
    <x v="8"/>
    <x v="4"/>
    <s v="Female"/>
    <n v="1"/>
    <n v="645.94000000000005"/>
    <n v="909.87"/>
    <n v="645.94000000000005"/>
    <n v="909.87"/>
    <n v="263.93"/>
  </r>
  <r>
    <x v="120"/>
    <s v="Ankit"/>
    <x v="1"/>
    <x v="1"/>
    <x v="2"/>
    <s v="Female"/>
    <n v="36"/>
    <n v="569.24"/>
    <n v="647.24"/>
    <n v="20492.64"/>
    <n v="23300.639999999999"/>
    <n v="2808"/>
  </r>
  <r>
    <x v="14"/>
    <s v="Sneha"/>
    <x v="3"/>
    <x v="6"/>
    <x v="0"/>
    <s v="Female"/>
    <n v="21"/>
    <n v="193.09"/>
    <n v="228.12"/>
    <n v="4054.89"/>
    <n v="4790.5200000000004"/>
    <n v="735.63"/>
  </r>
  <r>
    <x v="195"/>
    <s v="Vikas"/>
    <x v="3"/>
    <x v="5"/>
    <x v="4"/>
    <s v="Female"/>
    <n v="23"/>
    <n v="631.25"/>
    <n v="854.65"/>
    <n v="14518.75"/>
    <n v="19656.95"/>
    <n v="5138.2"/>
  </r>
  <r>
    <x v="272"/>
    <s v="Amit"/>
    <x v="2"/>
    <x v="4"/>
    <x v="3"/>
    <s v="Female"/>
    <n v="14"/>
    <n v="736.14"/>
    <n v="943.52"/>
    <n v="10305.959999999999"/>
    <n v="13209.28"/>
    <n v="2903.32"/>
  </r>
  <r>
    <x v="69"/>
    <s v="Neha"/>
    <x v="3"/>
    <x v="6"/>
    <x v="2"/>
    <s v="Male"/>
    <n v="31"/>
    <n v="911.45"/>
    <n v="1103.75"/>
    <n v="28254.95"/>
    <n v="34216.25"/>
    <n v="5961.3"/>
  </r>
  <r>
    <x v="75"/>
    <s v="Priya"/>
    <x v="3"/>
    <x v="5"/>
    <x v="4"/>
    <s v="Male"/>
    <n v="11"/>
    <n v="697.86"/>
    <n v="936.3"/>
    <n v="7676.46"/>
    <n v="10299.299999999999"/>
    <n v="2622.84"/>
  </r>
  <r>
    <x v="201"/>
    <s v="Vikas"/>
    <x v="3"/>
    <x v="6"/>
    <x v="5"/>
    <s v="Female"/>
    <n v="46"/>
    <n v="732.57"/>
    <n v="863.21"/>
    <n v="33698.22"/>
    <n v="39707.660000000003"/>
    <n v="6009.44"/>
  </r>
  <r>
    <x v="155"/>
    <s v="Rahul"/>
    <x v="3"/>
    <x v="6"/>
    <x v="3"/>
    <s v="Male"/>
    <n v="27"/>
    <n v="437.61"/>
    <n v="548.54"/>
    <n v="11815.47"/>
    <n v="14810.58"/>
    <n v="2995.11"/>
  </r>
  <r>
    <x v="300"/>
    <s v="Sneha"/>
    <x v="2"/>
    <x v="8"/>
    <x v="4"/>
    <s v="Male"/>
    <n v="40"/>
    <n v="307.58"/>
    <n v="448.43"/>
    <n v="12303.2"/>
    <n v="17937.2"/>
    <n v="5634"/>
  </r>
  <r>
    <x v="301"/>
    <s v="Neha"/>
    <x v="1"/>
    <x v="1"/>
    <x v="3"/>
    <s v="Female"/>
    <n v="34"/>
    <n v="511.92"/>
    <n v="708.38"/>
    <n v="17405.28"/>
    <n v="24084.92"/>
    <n v="6679.64"/>
  </r>
  <r>
    <x v="299"/>
    <s v="Vikas"/>
    <x v="3"/>
    <x v="6"/>
    <x v="0"/>
    <s v="Female"/>
    <n v="23"/>
    <n v="397.88"/>
    <n v="494.34"/>
    <n v="9151.24"/>
    <n v="11369.82"/>
    <n v="2218.58"/>
  </r>
  <r>
    <x v="252"/>
    <s v="Priya"/>
    <x v="0"/>
    <x v="9"/>
    <x v="5"/>
    <s v="Female"/>
    <n v="44"/>
    <n v="485.18"/>
    <n v="655.92"/>
    <n v="21347.919999999998"/>
    <n v="28860.48"/>
    <n v="7512.56"/>
  </r>
  <r>
    <x v="298"/>
    <s v="Ankit"/>
    <x v="1"/>
    <x v="2"/>
    <x v="5"/>
    <s v="Male"/>
    <n v="43"/>
    <n v="432.65"/>
    <n v="584.28"/>
    <n v="18603.95"/>
    <n v="25124.04"/>
    <n v="6520.09"/>
  </r>
  <r>
    <x v="132"/>
    <s v="Vikas"/>
    <x v="1"/>
    <x v="3"/>
    <x v="5"/>
    <s v="Female"/>
    <n v="28"/>
    <n v="562.88"/>
    <n v="621.53"/>
    <n v="15760.64"/>
    <n v="17402.84"/>
    <n v="1642.2"/>
  </r>
  <r>
    <x v="302"/>
    <s v="Rohit"/>
    <x v="1"/>
    <x v="1"/>
    <x v="0"/>
    <s v="Female"/>
    <n v="21"/>
    <n v="908.9"/>
    <n v="1115.21"/>
    <n v="19086.900000000001"/>
    <n v="23419.41"/>
    <n v="4332.51"/>
  </r>
  <r>
    <x v="229"/>
    <s v="Rahul"/>
    <x v="2"/>
    <x v="8"/>
    <x v="5"/>
    <s v="Male"/>
    <n v="26"/>
    <n v="705.9"/>
    <n v="1045.53"/>
    <n v="18353.400000000001"/>
    <n v="27183.78"/>
    <n v="8830.3799999999992"/>
  </r>
  <r>
    <x v="273"/>
    <s v="Rahul"/>
    <x v="2"/>
    <x v="8"/>
    <x v="3"/>
    <s v="Female"/>
    <n v="16"/>
    <n v="817.57"/>
    <n v="1171.8599999999999"/>
    <n v="13081.12"/>
    <n v="18749.759999999998"/>
    <n v="5668.64"/>
  </r>
  <r>
    <x v="140"/>
    <s v="Rohit"/>
    <x v="3"/>
    <x v="6"/>
    <x v="5"/>
    <s v="Female"/>
    <n v="9"/>
    <n v="593.75"/>
    <n v="698.29"/>
    <n v="5343.75"/>
    <n v="6284.61"/>
    <n v="940.86"/>
  </r>
  <r>
    <x v="98"/>
    <s v="Ankit"/>
    <x v="2"/>
    <x v="4"/>
    <x v="5"/>
    <s v="Female"/>
    <n v="34"/>
    <n v="51.1"/>
    <n v="72.150000000000006"/>
    <n v="1737.4"/>
    <n v="2453.1"/>
    <n v="715.7"/>
  </r>
  <r>
    <x v="26"/>
    <s v="Amit"/>
    <x v="3"/>
    <x v="11"/>
    <x v="1"/>
    <s v="Female"/>
    <n v="12"/>
    <n v="319.19"/>
    <n v="466.59"/>
    <n v="3830.28"/>
    <n v="5599.08"/>
    <n v="1768.8"/>
  </r>
  <r>
    <x v="32"/>
    <s v="Rohit"/>
    <x v="1"/>
    <x v="3"/>
    <x v="2"/>
    <s v="Female"/>
    <n v="28"/>
    <n v="520.98"/>
    <n v="702.12"/>
    <n v="14587.44"/>
    <n v="19659.36"/>
    <n v="5071.92"/>
  </r>
  <r>
    <x v="69"/>
    <s v="Ankit"/>
    <x v="2"/>
    <x v="8"/>
    <x v="1"/>
    <s v="Male"/>
    <n v="25"/>
    <n v="744.76"/>
    <n v="825.46"/>
    <n v="18619"/>
    <n v="20636.5"/>
    <n v="2017.5"/>
  </r>
  <r>
    <x v="203"/>
    <s v="Kiran"/>
    <x v="0"/>
    <x v="0"/>
    <x v="5"/>
    <s v="Male"/>
    <n v="42"/>
    <n v="664.08"/>
    <n v="962.08"/>
    <n v="27891.360000000001"/>
    <n v="40407.360000000001"/>
    <n v="12516"/>
  </r>
  <r>
    <x v="52"/>
    <s v="Sneha"/>
    <x v="0"/>
    <x v="0"/>
    <x v="0"/>
    <s v="Male"/>
    <n v="27"/>
    <n v="383.78"/>
    <n v="527.16"/>
    <n v="10362.06"/>
    <n v="14233.32"/>
    <n v="3871.26"/>
  </r>
  <r>
    <x v="152"/>
    <s v="Sneha"/>
    <x v="3"/>
    <x v="11"/>
    <x v="1"/>
    <s v="Female"/>
    <n v="30"/>
    <n v="740.17"/>
    <n v="1052.6500000000001"/>
    <n v="22205.1"/>
    <n v="31579.5"/>
    <n v="9374.4"/>
  </r>
  <r>
    <x v="190"/>
    <s v="Amit"/>
    <x v="0"/>
    <x v="9"/>
    <x v="5"/>
    <s v="Male"/>
    <n v="34"/>
    <n v="315.33999999999997"/>
    <n v="445.33"/>
    <n v="10721.56"/>
    <n v="15141.22"/>
    <n v="4419.66"/>
  </r>
  <r>
    <x v="39"/>
    <s v="Ankit"/>
    <x v="1"/>
    <x v="3"/>
    <x v="3"/>
    <s v="Male"/>
    <n v="5"/>
    <n v="830.03"/>
    <n v="1124.52"/>
    <n v="4150.1499999999996"/>
    <n v="5622.6"/>
    <n v="1472.45"/>
  </r>
  <r>
    <x v="2"/>
    <s v="Neha"/>
    <x v="3"/>
    <x v="5"/>
    <x v="5"/>
    <s v="Male"/>
    <n v="40"/>
    <n v="885.91"/>
    <n v="1277.31"/>
    <n v="35436.400000000001"/>
    <n v="51092.4"/>
    <n v="15656"/>
  </r>
  <r>
    <x v="32"/>
    <s v="Amit"/>
    <x v="1"/>
    <x v="2"/>
    <x v="4"/>
    <s v="Male"/>
    <n v="23"/>
    <n v="323.92"/>
    <n v="462.18"/>
    <n v="7450.16"/>
    <n v="10630.14"/>
    <n v="3179.98"/>
  </r>
  <r>
    <x v="82"/>
    <s v="Pooja"/>
    <x v="3"/>
    <x v="5"/>
    <x v="2"/>
    <s v="Female"/>
    <n v="30"/>
    <n v="387.89"/>
    <n v="435.13"/>
    <n v="11636.7"/>
    <n v="13053.9"/>
    <n v="1417.2"/>
  </r>
  <r>
    <x v="303"/>
    <s v="Sneha"/>
    <x v="1"/>
    <x v="3"/>
    <x v="5"/>
    <s v="Female"/>
    <n v="48"/>
    <n v="581.66"/>
    <n v="868.21"/>
    <n v="27919.68"/>
    <n v="41674.080000000002"/>
    <n v="13754.4"/>
  </r>
  <r>
    <x v="129"/>
    <s v="Priya"/>
    <x v="0"/>
    <x v="10"/>
    <x v="5"/>
    <s v="Female"/>
    <n v="34"/>
    <n v="175.36"/>
    <n v="222.95"/>
    <n v="5962.24"/>
    <n v="7580.3"/>
    <n v="1618.06"/>
  </r>
  <r>
    <x v="301"/>
    <s v="Kiran"/>
    <x v="0"/>
    <x v="0"/>
    <x v="3"/>
    <s v="Male"/>
    <n v="24"/>
    <n v="475.56"/>
    <n v="570.70000000000005"/>
    <n v="11413.44"/>
    <n v="13696.8"/>
    <n v="2283.36"/>
  </r>
  <r>
    <x v="62"/>
    <s v="Rohit"/>
    <x v="0"/>
    <x v="9"/>
    <x v="4"/>
    <s v="Male"/>
    <n v="27"/>
    <n v="464.23"/>
    <n v="597.66"/>
    <n v="12534.21"/>
    <n v="16136.82"/>
    <n v="3602.61"/>
  </r>
  <r>
    <x v="156"/>
    <s v="Neha"/>
    <x v="3"/>
    <x v="6"/>
    <x v="2"/>
    <s v="Male"/>
    <n v="50"/>
    <n v="237.19"/>
    <n v="291.95"/>
    <n v="11859.5"/>
    <n v="14597.5"/>
    <n v="2738"/>
  </r>
  <r>
    <x v="304"/>
    <s v="Neha"/>
    <x v="0"/>
    <x v="0"/>
    <x v="2"/>
    <s v="Male"/>
    <n v="17"/>
    <n v="766.65"/>
    <n v="868.21"/>
    <n v="13033.05"/>
    <n v="14759.57"/>
    <n v="1726.52"/>
  </r>
  <r>
    <x v="304"/>
    <s v="Sneha"/>
    <x v="2"/>
    <x v="4"/>
    <x v="0"/>
    <s v="Female"/>
    <n v="50"/>
    <n v="662.11"/>
    <n v="969.04"/>
    <n v="33105.5"/>
    <n v="48452"/>
    <n v="15346.5"/>
  </r>
  <r>
    <x v="83"/>
    <s v="Priya"/>
    <x v="3"/>
    <x v="6"/>
    <x v="0"/>
    <s v="Female"/>
    <n v="29"/>
    <n v="364.61"/>
    <n v="487"/>
    <n v="10573.69"/>
    <n v="14123"/>
    <n v="3549.31"/>
  </r>
  <r>
    <x v="305"/>
    <s v="Rohit"/>
    <x v="0"/>
    <x v="0"/>
    <x v="2"/>
    <s v="Female"/>
    <n v="24"/>
    <n v="849.65"/>
    <n v="1088.72"/>
    <n v="20391.599999999999"/>
    <n v="26129.279999999999"/>
    <n v="5737.68"/>
  </r>
  <r>
    <x v="239"/>
    <s v="Sneha"/>
    <x v="1"/>
    <x v="2"/>
    <x v="4"/>
    <s v="Female"/>
    <n v="31"/>
    <n v="927.88"/>
    <n v="1374.5"/>
    <n v="28764.28"/>
    <n v="42609.5"/>
    <n v="13845.22"/>
  </r>
  <r>
    <x v="30"/>
    <s v="Neha"/>
    <x v="1"/>
    <x v="2"/>
    <x v="5"/>
    <s v="Female"/>
    <n v="27"/>
    <n v="385.41"/>
    <n v="465.14"/>
    <n v="10406.07"/>
    <n v="12558.78"/>
    <n v="2152.71"/>
  </r>
  <r>
    <x v="306"/>
    <s v="Neha"/>
    <x v="1"/>
    <x v="1"/>
    <x v="4"/>
    <s v="Female"/>
    <n v="3"/>
    <n v="335.79"/>
    <n v="375.16"/>
    <n v="1007.37"/>
    <n v="1125.48"/>
    <n v="118.11"/>
  </r>
  <r>
    <x v="251"/>
    <s v="Rohit"/>
    <x v="3"/>
    <x v="6"/>
    <x v="5"/>
    <s v="Female"/>
    <n v="9"/>
    <n v="645.76"/>
    <n v="807.63"/>
    <n v="5811.84"/>
    <n v="7268.67"/>
    <n v="1456.83"/>
  </r>
  <r>
    <x v="263"/>
    <s v="Rahul"/>
    <x v="1"/>
    <x v="1"/>
    <x v="2"/>
    <s v="Female"/>
    <n v="44"/>
    <n v="967.82"/>
    <n v="1255.25"/>
    <n v="42584.08"/>
    <n v="55231"/>
    <n v="12646.92"/>
  </r>
  <r>
    <x v="307"/>
    <s v="Rohit"/>
    <x v="2"/>
    <x v="4"/>
    <x v="0"/>
    <s v="Female"/>
    <n v="3"/>
    <n v="493.42"/>
    <n v="701.36"/>
    <n v="1480.26"/>
    <n v="2104.08"/>
    <n v="623.82000000000005"/>
  </r>
  <r>
    <x v="280"/>
    <s v="Ankit"/>
    <x v="3"/>
    <x v="5"/>
    <x v="1"/>
    <s v="Male"/>
    <n v="31"/>
    <n v="63.86"/>
    <n v="83.95"/>
    <n v="1979.66"/>
    <n v="2602.4499999999998"/>
    <n v="622.79"/>
  </r>
  <r>
    <x v="71"/>
    <s v="Rahul"/>
    <x v="2"/>
    <x v="4"/>
    <x v="0"/>
    <s v="Female"/>
    <n v="1"/>
    <n v="548.37"/>
    <n v="710.7"/>
    <n v="548.37"/>
    <n v="710.7"/>
    <n v="162.33000000000001"/>
  </r>
  <r>
    <x v="18"/>
    <s v="Vikas"/>
    <x v="1"/>
    <x v="3"/>
    <x v="1"/>
    <s v="Female"/>
    <n v="35"/>
    <n v="491.69"/>
    <n v="632.95000000000005"/>
    <n v="17209.150000000001"/>
    <n v="22153.25"/>
    <n v="4944.1000000000004"/>
  </r>
  <r>
    <x v="195"/>
    <s v="Rohit"/>
    <x v="2"/>
    <x v="8"/>
    <x v="2"/>
    <s v="Male"/>
    <n v="11"/>
    <n v="634.21"/>
    <n v="779.3"/>
    <n v="6976.31"/>
    <n v="8572.2999999999993"/>
    <n v="1595.99"/>
  </r>
  <r>
    <x v="275"/>
    <s v="Vikas"/>
    <x v="0"/>
    <x v="9"/>
    <x v="1"/>
    <s v="Female"/>
    <n v="17"/>
    <n v="429.81"/>
    <n v="520.6"/>
    <n v="7306.77"/>
    <n v="8850.2000000000007"/>
    <n v="1543.43"/>
  </r>
  <r>
    <x v="32"/>
    <s v="Neha"/>
    <x v="3"/>
    <x v="11"/>
    <x v="4"/>
    <s v="Female"/>
    <n v="4"/>
    <n v="86.51"/>
    <n v="109.07"/>
    <n v="346.04"/>
    <n v="436.28"/>
    <n v="90.24"/>
  </r>
  <r>
    <x v="121"/>
    <s v="Ankit"/>
    <x v="1"/>
    <x v="2"/>
    <x v="1"/>
    <s v="Female"/>
    <n v="37"/>
    <n v="419.44"/>
    <n v="501.26"/>
    <n v="15519.28"/>
    <n v="18546.62"/>
    <n v="3027.34"/>
  </r>
  <r>
    <x v="5"/>
    <s v="Sneha"/>
    <x v="0"/>
    <x v="9"/>
    <x v="5"/>
    <s v="Male"/>
    <n v="50"/>
    <n v="318.48"/>
    <n v="361.11"/>
    <n v="15924"/>
    <n v="18055.5"/>
    <n v="2131.5"/>
  </r>
  <r>
    <x v="187"/>
    <s v="Vikas"/>
    <x v="2"/>
    <x v="7"/>
    <x v="5"/>
    <s v="Male"/>
    <n v="11"/>
    <n v="899.7"/>
    <n v="1013.64"/>
    <n v="9896.7000000000007"/>
    <n v="11150.04"/>
    <n v="1253.3399999999999"/>
  </r>
  <r>
    <x v="41"/>
    <s v="Sneha"/>
    <x v="0"/>
    <x v="0"/>
    <x v="5"/>
    <s v="Male"/>
    <n v="39"/>
    <n v="961.12"/>
    <n v="1174.1600000000001"/>
    <n v="37483.68"/>
    <n v="45792.24"/>
    <n v="8308.56"/>
  </r>
  <r>
    <x v="67"/>
    <s v="Vikas"/>
    <x v="0"/>
    <x v="0"/>
    <x v="2"/>
    <s v="Male"/>
    <n v="46"/>
    <n v="511.82"/>
    <n v="645.99"/>
    <n v="23543.72"/>
    <n v="29715.54"/>
    <n v="6171.82"/>
  </r>
  <r>
    <x v="80"/>
    <s v="Rohit"/>
    <x v="0"/>
    <x v="9"/>
    <x v="4"/>
    <s v="Male"/>
    <n v="42"/>
    <n v="519.49"/>
    <n v="727.66"/>
    <n v="21818.58"/>
    <n v="30561.72"/>
    <n v="8743.14"/>
  </r>
  <r>
    <x v="161"/>
    <s v="Rohit"/>
    <x v="3"/>
    <x v="11"/>
    <x v="4"/>
    <s v="Female"/>
    <n v="16"/>
    <n v="853.25"/>
    <n v="969.78"/>
    <n v="13652"/>
    <n v="15516.48"/>
    <n v="1864.48"/>
  </r>
  <r>
    <x v="134"/>
    <s v="Rahul"/>
    <x v="2"/>
    <x v="4"/>
    <x v="4"/>
    <s v="Male"/>
    <n v="30"/>
    <n v="746.98"/>
    <n v="1089.76"/>
    <n v="22409.4"/>
    <n v="32692.799999999999"/>
    <n v="10283.4"/>
  </r>
  <r>
    <x v="308"/>
    <s v="Rohit"/>
    <x v="0"/>
    <x v="0"/>
    <x v="0"/>
    <s v="Male"/>
    <n v="41"/>
    <n v="965.58"/>
    <n v="1379.86"/>
    <n v="39588.78"/>
    <n v="56574.26"/>
    <n v="16985.48"/>
  </r>
  <r>
    <x v="188"/>
    <s v="Sneha"/>
    <x v="3"/>
    <x v="6"/>
    <x v="2"/>
    <s v="Female"/>
    <n v="3"/>
    <n v="531.69000000000005"/>
    <n v="629.86"/>
    <n v="1595.07"/>
    <n v="1889.58"/>
    <n v="294.51"/>
  </r>
  <r>
    <x v="224"/>
    <s v="Rahul"/>
    <x v="3"/>
    <x v="5"/>
    <x v="0"/>
    <s v="Male"/>
    <n v="41"/>
    <n v="120.58"/>
    <n v="150.22999999999999"/>
    <n v="4943.78"/>
    <n v="6159.43"/>
    <n v="1215.6500000000001"/>
  </r>
  <r>
    <x v="294"/>
    <s v="Kiran"/>
    <x v="3"/>
    <x v="6"/>
    <x v="3"/>
    <s v="Male"/>
    <n v="30"/>
    <n v="728.19"/>
    <n v="869.45"/>
    <n v="21845.7"/>
    <n v="26083.5"/>
    <n v="4237.8"/>
  </r>
  <r>
    <x v="110"/>
    <s v="Amit"/>
    <x v="1"/>
    <x v="3"/>
    <x v="2"/>
    <s v="Female"/>
    <n v="20"/>
    <n v="350.09"/>
    <n v="397.11"/>
    <n v="7001.8"/>
    <n v="7942.2"/>
    <n v="940.4"/>
  </r>
  <r>
    <x v="102"/>
    <s v="Amit"/>
    <x v="3"/>
    <x v="11"/>
    <x v="3"/>
    <s v="Female"/>
    <n v="20"/>
    <n v="344.13"/>
    <n v="513.86"/>
    <n v="6882.6"/>
    <n v="10277.200000000001"/>
    <n v="3394.6"/>
  </r>
  <r>
    <x v="9"/>
    <s v="Rahul"/>
    <x v="0"/>
    <x v="10"/>
    <x v="2"/>
    <s v="Male"/>
    <n v="35"/>
    <n v="877.54"/>
    <n v="1276.5999999999999"/>
    <n v="30713.9"/>
    <n v="44681"/>
    <n v="13967.1"/>
  </r>
  <r>
    <x v="229"/>
    <s v="Kiran"/>
    <x v="1"/>
    <x v="2"/>
    <x v="4"/>
    <s v="Male"/>
    <n v="22"/>
    <n v="896.07"/>
    <n v="1001.08"/>
    <n v="19713.54"/>
    <n v="22023.759999999998"/>
    <n v="2310.2199999999998"/>
  </r>
  <r>
    <x v="115"/>
    <s v="Pooja"/>
    <x v="0"/>
    <x v="9"/>
    <x v="4"/>
    <s v="Female"/>
    <n v="12"/>
    <n v="64.739999999999995"/>
    <n v="81.84"/>
    <n v="776.88"/>
    <n v="982.08"/>
    <n v="205.2"/>
  </r>
  <r>
    <x v="126"/>
    <s v="Vikas"/>
    <x v="1"/>
    <x v="3"/>
    <x v="1"/>
    <s v="Female"/>
    <n v="24"/>
    <n v="863.76"/>
    <n v="1221.9000000000001"/>
    <n v="20730.240000000002"/>
    <n v="29325.599999999999"/>
    <n v="8595.36"/>
  </r>
  <r>
    <x v="35"/>
    <s v="Pooja"/>
    <x v="0"/>
    <x v="9"/>
    <x v="3"/>
    <s v="Male"/>
    <n v="38"/>
    <n v="924.01"/>
    <n v="1302.19"/>
    <n v="35112.379999999997"/>
    <n v="49483.22"/>
    <n v="14370.84"/>
  </r>
  <r>
    <x v="309"/>
    <s v="Sneha"/>
    <x v="2"/>
    <x v="8"/>
    <x v="5"/>
    <s v="Male"/>
    <n v="26"/>
    <n v="91.89"/>
    <n v="135.09"/>
    <n v="2389.14"/>
    <n v="3512.34"/>
    <n v="1123.2"/>
  </r>
  <r>
    <x v="310"/>
    <s v="Pooja"/>
    <x v="0"/>
    <x v="9"/>
    <x v="0"/>
    <s v="Female"/>
    <n v="8"/>
    <n v="311.08999999999997"/>
    <n v="436.95"/>
    <n v="2488.7199999999998"/>
    <n v="3495.6"/>
    <n v="1006.88"/>
  </r>
  <r>
    <x v="311"/>
    <s v="Priya"/>
    <x v="3"/>
    <x v="11"/>
    <x v="2"/>
    <s v="Female"/>
    <n v="43"/>
    <n v="649.67999999999995"/>
    <n v="929.41"/>
    <n v="27936.240000000002"/>
    <n v="39964.629999999997"/>
    <n v="12028.39"/>
  </r>
  <r>
    <x v="285"/>
    <s v="Pooja"/>
    <x v="0"/>
    <x v="0"/>
    <x v="0"/>
    <s v="Male"/>
    <n v="37"/>
    <n v="125.74"/>
    <n v="181.46"/>
    <n v="4652.38"/>
    <n v="6714.02"/>
    <n v="2061.64"/>
  </r>
  <r>
    <x v="290"/>
    <s v="Sneha"/>
    <x v="1"/>
    <x v="2"/>
    <x v="0"/>
    <s v="Female"/>
    <n v="27"/>
    <n v="785.85"/>
    <n v="1155.73"/>
    <n v="21217.95"/>
    <n v="31204.71"/>
    <n v="9986.76"/>
  </r>
  <r>
    <x v="173"/>
    <s v="Priya"/>
    <x v="3"/>
    <x v="11"/>
    <x v="3"/>
    <s v="Female"/>
    <n v="32"/>
    <n v="666.67"/>
    <n v="734.7"/>
    <n v="21333.439999999999"/>
    <n v="23510.400000000001"/>
    <n v="2176.96"/>
  </r>
  <r>
    <x v="175"/>
    <s v="Neha"/>
    <x v="2"/>
    <x v="4"/>
    <x v="5"/>
    <s v="Female"/>
    <n v="50"/>
    <n v="850.48"/>
    <n v="1182.19"/>
    <n v="42524"/>
    <n v="59109.5"/>
    <n v="16585.5"/>
  </r>
  <r>
    <x v="106"/>
    <s v="Priya"/>
    <x v="0"/>
    <x v="0"/>
    <x v="5"/>
    <s v="Male"/>
    <n v="6"/>
    <n v="551.9"/>
    <n v="654.15"/>
    <n v="3311.4"/>
    <n v="3924.9"/>
    <n v="613.5"/>
  </r>
  <r>
    <x v="148"/>
    <s v="Rohit"/>
    <x v="2"/>
    <x v="4"/>
    <x v="3"/>
    <s v="Male"/>
    <n v="12"/>
    <n v="979.5"/>
    <n v="1313.68"/>
    <n v="11754"/>
    <n v="15764.16"/>
    <n v="4010.16"/>
  </r>
  <r>
    <x v="90"/>
    <s v="Priya"/>
    <x v="1"/>
    <x v="3"/>
    <x v="5"/>
    <s v="Female"/>
    <n v="49"/>
    <n v="195.3"/>
    <n v="287.45999999999998"/>
    <n v="9569.7000000000007"/>
    <n v="14085.54"/>
    <n v="4515.84"/>
  </r>
  <r>
    <x v="220"/>
    <s v="Rohit"/>
    <x v="0"/>
    <x v="10"/>
    <x v="2"/>
    <s v="Female"/>
    <n v="36"/>
    <n v="497.9"/>
    <n v="742.56"/>
    <n v="17924.400000000001"/>
    <n v="26732.16"/>
    <n v="8807.76"/>
  </r>
  <r>
    <x v="52"/>
    <s v="Pooja"/>
    <x v="2"/>
    <x v="4"/>
    <x v="5"/>
    <s v="Male"/>
    <n v="24"/>
    <n v="160.91999999999999"/>
    <n v="198.49"/>
    <n v="3862.08"/>
    <n v="4763.76"/>
    <n v="901.68"/>
  </r>
  <r>
    <x v="190"/>
    <s v="Neha"/>
    <x v="2"/>
    <x v="4"/>
    <x v="2"/>
    <s v="Female"/>
    <n v="45"/>
    <n v="623.91"/>
    <n v="897.56"/>
    <n v="28075.95"/>
    <n v="40390.199999999997"/>
    <n v="12314.25"/>
  </r>
  <r>
    <x v="257"/>
    <s v="Pooja"/>
    <x v="0"/>
    <x v="0"/>
    <x v="2"/>
    <s v="Male"/>
    <n v="50"/>
    <n v="181.69"/>
    <n v="230.75"/>
    <n v="9084.5"/>
    <n v="11537.5"/>
    <n v="2453"/>
  </r>
  <r>
    <x v="6"/>
    <s v="Ankit"/>
    <x v="2"/>
    <x v="8"/>
    <x v="5"/>
    <s v="Male"/>
    <n v="35"/>
    <n v="829.22"/>
    <n v="1130.08"/>
    <n v="29022.7"/>
    <n v="39552.800000000003"/>
    <n v="10530.1"/>
  </r>
  <r>
    <x v="131"/>
    <s v="Vikas"/>
    <x v="1"/>
    <x v="3"/>
    <x v="3"/>
    <s v="Male"/>
    <n v="22"/>
    <n v="860.98"/>
    <n v="991.44"/>
    <n v="18941.560000000001"/>
    <n v="21811.68"/>
    <n v="2870.12"/>
  </r>
  <r>
    <x v="56"/>
    <s v="Kiran"/>
    <x v="0"/>
    <x v="0"/>
    <x v="2"/>
    <s v="Female"/>
    <n v="50"/>
    <n v="555.33000000000004"/>
    <n v="765.69"/>
    <n v="27766.5"/>
    <n v="38284.5"/>
    <n v="10518"/>
  </r>
  <r>
    <x v="15"/>
    <s v="Amit"/>
    <x v="2"/>
    <x v="4"/>
    <x v="2"/>
    <s v="Male"/>
    <n v="1"/>
    <n v="762.63"/>
    <n v="1007.97"/>
    <n v="762.63"/>
    <n v="1007.97"/>
    <n v="245.34"/>
  </r>
  <r>
    <x v="7"/>
    <s v="Sneha"/>
    <x v="1"/>
    <x v="1"/>
    <x v="4"/>
    <s v="Female"/>
    <n v="36"/>
    <n v="745.44"/>
    <n v="885.05"/>
    <n v="26835.84"/>
    <n v="31861.8"/>
    <n v="5025.96"/>
  </r>
  <r>
    <x v="169"/>
    <s v="Kiran"/>
    <x v="2"/>
    <x v="4"/>
    <x v="1"/>
    <s v="Male"/>
    <n v="10"/>
    <n v="810.03"/>
    <n v="1123.8699999999999"/>
    <n v="8100.3"/>
    <n v="11238.7"/>
    <n v="3138.4"/>
  </r>
  <r>
    <x v="104"/>
    <s v="Priya"/>
    <x v="0"/>
    <x v="10"/>
    <x v="0"/>
    <s v="Female"/>
    <n v="46"/>
    <n v="884.47"/>
    <n v="1179.72"/>
    <n v="40685.620000000003"/>
    <n v="54267.12"/>
    <n v="13581.5"/>
  </r>
  <r>
    <x v="312"/>
    <s v="Rahul"/>
    <x v="1"/>
    <x v="3"/>
    <x v="4"/>
    <s v="Female"/>
    <n v="50"/>
    <n v="800.69"/>
    <n v="1178.75"/>
    <n v="40034.5"/>
    <n v="58937.5"/>
    <n v="18903"/>
  </r>
  <r>
    <x v="254"/>
    <s v="Neha"/>
    <x v="0"/>
    <x v="10"/>
    <x v="5"/>
    <s v="Female"/>
    <n v="47"/>
    <n v="635.72"/>
    <n v="767.49"/>
    <n v="29878.84"/>
    <n v="36072.03"/>
    <n v="6193.19"/>
  </r>
  <r>
    <x v="158"/>
    <s v="Sneha"/>
    <x v="3"/>
    <x v="11"/>
    <x v="0"/>
    <s v="Male"/>
    <n v="4"/>
    <n v="157.52000000000001"/>
    <n v="177.11"/>
    <n v="630.08000000000004"/>
    <n v="708.44"/>
    <n v="78.36"/>
  </r>
  <r>
    <x v="262"/>
    <s v="Pooja"/>
    <x v="1"/>
    <x v="2"/>
    <x v="4"/>
    <s v="Female"/>
    <n v="45"/>
    <n v="760.21"/>
    <n v="1021.95"/>
    <n v="34209.449999999997"/>
    <n v="45987.75"/>
    <n v="11778.3"/>
  </r>
  <r>
    <x v="118"/>
    <s v="Pooja"/>
    <x v="2"/>
    <x v="8"/>
    <x v="4"/>
    <s v="Female"/>
    <n v="46"/>
    <n v="253.13"/>
    <n v="303.69"/>
    <n v="11643.98"/>
    <n v="13969.74"/>
    <n v="2325.7600000000002"/>
  </r>
  <r>
    <x v="247"/>
    <s v="Rahul"/>
    <x v="2"/>
    <x v="7"/>
    <x v="4"/>
    <s v="Male"/>
    <n v="5"/>
    <n v="183.35"/>
    <n v="247.32"/>
    <n v="916.75"/>
    <n v="1236.5999999999999"/>
    <n v="319.85000000000002"/>
  </r>
  <r>
    <x v="102"/>
    <s v="Ankit"/>
    <x v="2"/>
    <x v="8"/>
    <x v="3"/>
    <s v="Male"/>
    <n v="31"/>
    <n v="474.13"/>
    <n v="589.03"/>
    <n v="14698.03"/>
    <n v="18259.93"/>
    <n v="3561.9"/>
  </r>
  <r>
    <x v="312"/>
    <s v="Amit"/>
    <x v="0"/>
    <x v="9"/>
    <x v="1"/>
    <s v="Male"/>
    <n v="39"/>
    <n v="891.39"/>
    <n v="1251.1199999999999"/>
    <n v="34764.21"/>
    <n v="48793.68"/>
    <n v="14029.47"/>
  </r>
  <r>
    <x v="124"/>
    <s v="Rohit"/>
    <x v="2"/>
    <x v="4"/>
    <x v="0"/>
    <s v="Male"/>
    <n v="47"/>
    <n v="382.44"/>
    <n v="522.59"/>
    <n v="17974.68"/>
    <n v="24561.73"/>
    <n v="6587.05"/>
  </r>
  <r>
    <x v="6"/>
    <s v="Kiran"/>
    <x v="2"/>
    <x v="8"/>
    <x v="4"/>
    <s v="Female"/>
    <n v="28"/>
    <n v="457.08"/>
    <n v="527.19000000000005"/>
    <n v="12798.24"/>
    <n v="14761.32"/>
    <n v="1963.08"/>
  </r>
  <r>
    <x v="295"/>
    <s v="Vikas"/>
    <x v="2"/>
    <x v="8"/>
    <x v="2"/>
    <s v="Female"/>
    <n v="37"/>
    <n v="511.92"/>
    <n v="726.15"/>
    <n v="18941.04"/>
    <n v="26867.55"/>
    <n v="7926.51"/>
  </r>
  <r>
    <x v="258"/>
    <s v="Rahul"/>
    <x v="2"/>
    <x v="7"/>
    <x v="1"/>
    <s v="Female"/>
    <n v="42"/>
    <n v="927.21"/>
    <n v="1030.82"/>
    <n v="38942.82"/>
    <n v="43294.44"/>
    <n v="4351.62"/>
  </r>
  <r>
    <x v="209"/>
    <s v="Vikas"/>
    <x v="1"/>
    <x v="2"/>
    <x v="3"/>
    <s v="Female"/>
    <n v="21"/>
    <n v="909.81"/>
    <n v="1219.01"/>
    <n v="19106.009999999998"/>
    <n v="25599.21"/>
    <n v="6493.2"/>
  </r>
  <r>
    <x v="313"/>
    <s v="Pooja"/>
    <x v="1"/>
    <x v="2"/>
    <x v="3"/>
    <s v="Female"/>
    <n v="33"/>
    <n v="405.32"/>
    <n v="577.63"/>
    <n v="13375.56"/>
    <n v="19061.79"/>
    <n v="5686.23"/>
  </r>
  <r>
    <x v="194"/>
    <s v="Ankit"/>
    <x v="0"/>
    <x v="9"/>
    <x v="3"/>
    <s v="Female"/>
    <n v="42"/>
    <n v="132.69"/>
    <n v="165.06"/>
    <n v="5572.98"/>
    <n v="6932.52"/>
    <n v="1359.54"/>
  </r>
  <r>
    <x v="103"/>
    <s v="Sneha"/>
    <x v="1"/>
    <x v="1"/>
    <x v="2"/>
    <s v="Female"/>
    <n v="37"/>
    <n v="859.18"/>
    <n v="1174.93"/>
    <n v="31789.66"/>
    <n v="43472.41"/>
    <n v="11682.75"/>
  </r>
  <r>
    <x v="299"/>
    <s v="Amit"/>
    <x v="2"/>
    <x v="7"/>
    <x v="1"/>
    <s v="Male"/>
    <n v="22"/>
    <n v="393.76"/>
    <n v="562.80999999999995"/>
    <n v="8662.7199999999993"/>
    <n v="12381.82"/>
    <n v="3719.1"/>
  </r>
  <r>
    <x v="5"/>
    <s v="Rohit"/>
    <x v="1"/>
    <x v="3"/>
    <x v="1"/>
    <s v="Female"/>
    <n v="34"/>
    <n v="687.73"/>
    <n v="917.46"/>
    <n v="23382.82"/>
    <n v="31193.64"/>
    <n v="7810.82"/>
  </r>
  <r>
    <x v="300"/>
    <s v="Ankit"/>
    <x v="0"/>
    <x v="9"/>
    <x v="2"/>
    <s v="Male"/>
    <n v="46"/>
    <n v="237.57"/>
    <n v="302.02"/>
    <n v="10928.22"/>
    <n v="13892.92"/>
    <n v="2964.7"/>
  </r>
  <r>
    <x v="29"/>
    <s v="Amit"/>
    <x v="1"/>
    <x v="1"/>
    <x v="1"/>
    <s v="Female"/>
    <n v="34"/>
    <n v="518.73"/>
    <n v="662.99"/>
    <n v="17636.82"/>
    <n v="22541.66"/>
    <n v="4904.84"/>
  </r>
  <r>
    <x v="99"/>
    <s v="Kiran"/>
    <x v="2"/>
    <x v="4"/>
    <x v="3"/>
    <s v="Male"/>
    <n v="26"/>
    <n v="699.13"/>
    <n v="1018.3"/>
    <n v="18177.38"/>
    <n v="26475.8"/>
    <n v="8298.42"/>
  </r>
  <r>
    <x v="310"/>
    <s v="Sneha"/>
    <x v="3"/>
    <x v="5"/>
    <x v="0"/>
    <s v="Male"/>
    <n v="8"/>
    <n v="868.2"/>
    <n v="1063.3699999999999"/>
    <n v="6945.6"/>
    <n v="8506.9599999999991"/>
    <n v="1561.36"/>
  </r>
  <r>
    <x v="314"/>
    <s v="Sneha"/>
    <x v="3"/>
    <x v="11"/>
    <x v="2"/>
    <s v="Female"/>
    <n v="5"/>
    <n v="132.69999999999999"/>
    <n v="175.26"/>
    <n v="663.5"/>
    <n v="876.3"/>
    <n v="212.8"/>
  </r>
  <r>
    <x v="315"/>
    <s v="Rahul"/>
    <x v="0"/>
    <x v="10"/>
    <x v="2"/>
    <s v="Female"/>
    <n v="34"/>
    <n v="204.05"/>
    <n v="225.97"/>
    <n v="6937.7"/>
    <n v="7682.98"/>
    <n v="745.28"/>
  </r>
  <r>
    <x v="218"/>
    <s v="Neha"/>
    <x v="1"/>
    <x v="1"/>
    <x v="3"/>
    <s v="Female"/>
    <n v="19"/>
    <n v="540.77"/>
    <n v="705.38"/>
    <n v="10274.629999999999"/>
    <n v="13402.22"/>
    <n v="3127.59"/>
  </r>
  <r>
    <x v="143"/>
    <s v="Neha"/>
    <x v="0"/>
    <x v="9"/>
    <x v="1"/>
    <s v="Male"/>
    <n v="39"/>
    <n v="324.5"/>
    <n v="429.96"/>
    <n v="12655.5"/>
    <n v="16768.439999999999"/>
    <n v="4112.9399999999996"/>
  </r>
  <r>
    <x v="316"/>
    <s v="Amit"/>
    <x v="0"/>
    <x v="0"/>
    <x v="1"/>
    <s v="Female"/>
    <n v="35"/>
    <n v="917.14"/>
    <n v="1162.78"/>
    <n v="32099.9"/>
    <n v="40697.300000000003"/>
    <n v="8597.4"/>
  </r>
  <r>
    <x v="2"/>
    <s v="Pooja"/>
    <x v="2"/>
    <x v="8"/>
    <x v="1"/>
    <s v="Female"/>
    <n v="2"/>
    <n v="66.62"/>
    <n v="83.09"/>
    <n v="133.24"/>
    <n v="166.18"/>
    <n v="32.94"/>
  </r>
  <r>
    <x v="317"/>
    <s v="Rohit"/>
    <x v="3"/>
    <x v="6"/>
    <x v="2"/>
    <s v="Female"/>
    <n v="46"/>
    <n v="72.13"/>
    <n v="105.87"/>
    <n v="3317.98"/>
    <n v="4870.0200000000004"/>
    <n v="1552.04"/>
  </r>
  <r>
    <x v="318"/>
    <s v="Ankit"/>
    <x v="0"/>
    <x v="9"/>
    <x v="0"/>
    <s v="Female"/>
    <n v="40"/>
    <n v="218.36"/>
    <n v="281.58999999999997"/>
    <n v="8734.4"/>
    <n v="11263.6"/>
    <n v="2529.1999999999998"/>
  </r>
  <r>
    <x v="216"/>
    <s v="Amit"/>
    <x v="3"/>
    <x v="6"/>
    <x v="5"/>
    <s v="Female"/>
    <n v="13"/>
    <n v="103.02"/>
    <n v="120.94"/>
    <n v="1339.26"/>
    <n v="1572.22"/>
    <n v="232.96"/>
  </r>
  <r>
    <x v="178"/>
    <s v="Neha"/>
    <x v="1"/>
    <x v="3"/>
    <x v="1"/>
    <s v="Female"/>
    <n v="25"/>
    <n v="262.52999999999997"/>
    <n v="337.78"/>
    <n v="6563.25"/>
    <n v="8444.5"/>
    <n v="1881.25"/>
  </r>
  <r>
    <x v="74"/>
    <s v="Kiran"/>
    <x v="3"/>
    <x v="11"/>
    <x v="3"/>
    <s v="Male"/>
    <n v="44"/>
    <n v="924.02"/>
    <n v="1051.79"/>
    <n v="40656.879999999997"/>
    <n v="46278.76"/>
    <n v="5621.88"/>
  </r>
  <r>
    <x v="295"/>
    <s v="Pooja"/>
    <x v="0"/>
    <x v="10"/>
    <x v="3"/>
    <s v="Male"/>
    <n v="29"/>
    <n v="284.88"/>
    <n v="397.12"/>
    <n v="8261.52"/>
    <n v="11516.48"/>
    <n v="3254.96"/>
  </r>
  <r>
    <x v="147"/>
    <s v="Pooja"/>
    <x v="1"/>
    <x v="1"/>
    <x v="4"/>
    <s v="Female"/>
    <n v="24"/>
    <n v="292.54000000000002"/>
    <n v="406.5"/>
    <n v="7020.96"/>
    <n v="9756"/>
    <n v="2735.04"/>
  </r>
  <r>
    <x v="255"/>
    <s v="Rohit"/>
    <x v="0"/>
    <x v="10"/>
    <x v="4"/>
    <s v="Male"/>
    <n v="8"/>
    <n v="655.29"/>
    <n v="898.79"/>
    <n v="5242.32"/>
    <n v="7190.32"/>
    <n v="1948"/>
  </r>
  <r>
    <x v="73"/>
    <s v="Rohit"/>
    <x v="0"/>
    <x v="0"/>
    <x v="2"/>
    <s v="Male"/>
    <n v="36"/>
    <n v="280.75"/>
    <n v="409.83"/>
    <n v="10107"/>
    <n v="14753.88"/>
    <n v="4646.88"/>
  </r>
  <r>
    <x v="197"/>
    <s v="Priya"/>
    <x v="1"/>
    <x v="1"/>
    <x v="5"/>
    <s v="Male"/>
    <n v="14"/>
    <n v="75.83"/>
    <n v="102.76"/>
    <n v="1061.6199999999999"/>
    <n v="1438.64"/>
    <n v="377.02"/>
  </r>
  <r>
    <x v="136"/>
    <s v="Rahul"/>
    <x v="1"/>
    <x v="1"/>
    <x v="2"/>
    <s v="Female"/>
    <n v="22"/>
    <n v="243.09"/>
    <n v="320.91000000000003"/>
    <n v="5347.98"/>
    <n v="7060.02"/>
    <n v="1712.04"/>
  </r>
  <r>
    <x v="42"/>
    <s v="Neha"/>
    <x v="0"/>
    <x v="10"/>
    <x v="1"/>
    <s v="Male"/>
    <n v="22"/>
    <n v="950.99"/>
    <n v="1360.4"/>
    <n v="20921.78"/>
    <n v="29928.799999999999"/>
    <n v="9007.02"/>
  </r>
  <r>
    <x v="295"/>
    <s v="Neha"/>
    <x v="3"/>
    <x v="6"/>
    <x v="4"/>
    <s v="Male"/>
    <n v="29"/>
    <n v="332.37"/>
    <n v="474.93"/>
    <n v="9638.73"/>
    <n v="13772.97"/>
    <n v="4134.24"/>
  </r>
  <r>
    <x v="174"/>
    <s v="Rahul"/>
    <x v="1"/>
    <x v="3"/>
    <x v="5"/>
    <s v="Male"/>
    <n v="19"/>
    <n v="991.16"/>
    <n v="1174.23"/>
    <n v="18832.04"/>
    <n v="22310.37"/>
    <n v="3478.33"/>
  </r>
  <r>
    <x v="194"/>
    <s v="Pooja"/>
    <x v="1"/>
    <x v="2"/>
    <x v="4"/>
    <s v="Female"/>
    <n v="39"/>
    <n v="983.73"/>
    <n v="1341.66"/>
    <n v="38365.47"/>
    <n v="52324.74"/>
    <n v="13959.27"/>
  </r>
  <r>
    <x v="192"/>
    <s v="Priya"/>
    <x v="0"/>
    <x v="9"/>
    <x v="5"/>
    <s v="Male"/>
    <n v="39"/>
    <n v="571.23"/>
    <n v="723.89"/>
    <n v="22277.97"/>
    <n v="28231.71"/>
    <n v="5953.74"/>
  </r>
  <r>
    <x v="88"/>
    <s v="Amit"/>
    <x v="2"/>
    <x v="8"/>
    <x v="1"/>
    <s v="Female"/>
    <n v="29"/>
    <n v="990.61"/>
    <n v="1230.48"/>
    <n v="28727.69"/>
    <n v="35683.919999999998"/>
    <n v="6956.23"/>
  </r>
  <r>
    <x v="319"/>
    <s v="Rohit"/>
    <x v="0"/>
    <x v="9"/>
    <x v="4"/>
    <s v="Female"/>
    <n v="20"/>
    <n v="881.75"/>
    <n v="1099.3399999999999"/>
    <n v="17635"/>
    <n v="21986.799999999999"/>
    <n v="4351.8"/>
  </r>
  <r>
    <x v="301"/>
    <s v="Ankit"/>
    <x v="0"/>
    <x v="9"/>
    <x v="5"/>
    <s v="Female"/>
    <n v="27"/>
    <n v="941.54"/>
    <n v="1292.9000000000001"/>
    <n v="25421.58"/>
    <n v="34908.300000000003"/>
    <n v="9486.7199999999993"/>
  </r>
  <r>
    <x v="303"/>
    <s v="Vikas"/>
    <x v="3"/>
    <x v="11"/>
    <x v="2"/>
    <s v="Female"/>
    <n v="29"/>
    <n v="828.41"/>
    <n v="1090.1300000000001"/>
    <n v="24023.89"/>
    <n v="31613.77"/>
    <n v="7589.88"/>
  </r>
  <r>
    <x v="34"/>
    <s v="Rohit"/>
    <x v="1"/>
    <x v="2"/>
    <x v="1"/>
    <s v="Male"/>
    <n v="23"/>
    <n v="873.3"/>
    <n v="1185.69"/>
    <n v="20085.900000000001"/>
    <n v="27270.87"/>
    <n v="7184.97"/>
  </r>
  <r>
    <x v="133"/>
    <s v="Sneha"/>
    <x v="1"/>
    <x v="1"/>
    <x v="4"/>
    <s v="Male"/>
    <n v="26"/>
    <n v="458.27"/>
    <n v="572.27"/>
    <n v="11915.02"/>
    <n v="14879.02"/>
    <n v="2964"/>
  </r>
  <r>
    <x v="320"/>
    <s v="Pooja"/>
    <x v="3"/>
    <x v="5"/>
    <x v="0"/>
    <s v="Male"/>
    <n v="31"/>
    <n v="272.27999999999997"/>
    <n v="344.03"/>
    <n v="8440.68"/>
    <n v="10664.93"/>
    <n v="2224.25"/>
  </r>
  <r>
    <x v="41"/>
    <s v="Rahul"/>
    <x v="0"/>
    <x v="0"/>
    <x v="0"/>
    <s v="Male"/>
    <n v="10"/>
    <n v="561.66"/>
    <n v="781.43"/>
    <n v="5616.6"/>
    <n v="7814.3"/>
    <n v="2197.6999999999998"/>
  </r>
  <r>
    <x v="272"/>
    <s v="Rohit"/>
    <x v="3"/>
    <x v="11"/>
    <x v="2"/>
    <s v="Male"/>
    <n v="44"/>
    <n v="590.38"/>
    <n v="776.45"/>
    <n v="25976.720000000001"/>
    <n v="34163.800000000003"/>
    <n v="8187.08"/>
  </r>
  <r>
    <x v="316"/>
    <s v="Sneha"/>
    <x v="0"/>
    <x v="9"/>
    <x v="0"/>
    <s v="Male"/>
    <n v="41"/>
    <n v="335.05"/>
    <n v="416.38"/>
    <n v="13737.05"/>
    <n v="17071.580000000002"/>
    <n v="3334.53"/>
  </r>
  <r>
    <x v="132"/>
    <s v="Ankit"/>
    <x v="2"/>
    <x v="7"/>
    <x v="1"/>
    <s v="Male"/>
    <n v="44"/>
    <n v="396.28"/>
    <n v="563.79999999999995"/>
    <n v="17436.32"/>
    <n v="24807.200000000001"/>
    <n v="7370.88"/>
  </r>
  <r>
    <x v="150"/>
    <s v="Rohit"/>
    <x v="3"/>
    <x v="5"/>
    <x v="0"/>
    <s v="Male"/>
    <n v="42"/>
    <n v="663.35"/>
    <n v="865.97"/>
    <n v="27860.7"/>
    <n v="36370.74"/>
    <n v="8510.0400000000009"/>
  </r>
  <r>
    <x v="219"/>
    <s v="Kiran"/>
    <x v="1"/>
    <x v="3"/>
    <x v="2"/>
    <s v="Male"/>
    <n v="10"/>
    <n v="373.26"/>
    <n v="545.12"/>
    <n v="3732.6"/>
    <n v="5451.2"/>
    <n v="1718.6"/>
  </r>
  <r>
    <x v="196"/>
    <s v="Pooja"/>
    <x v="1"/>
    <x v="3"/>
    <x v="4"/>
    <s v="Female"/>
    <n v="7"/>
    <n v="752.45"/>
    <n v="997.49"/>
    <n v="5267.15"/>
    <n v="6982.43"/>
    <n v="1715.28"/>
  </r>
  <r>
    <x v="298"/>
    <s v="Amit"/>
    <x v="2"/>
    <x v="4"/>
    <x v="0"/>
    <s v="Male"/>
    <n v="29"/>
    <n v="414.65"/>
    <n v="566.29999999999995"/>
    <n v="12024.85"/>
    <n v="16422.7"/>
    <n v="4397.8500000000004"/>
  </r>
  <r>
    <x v="321"/>
    <s v="Sneha"/>
    <x v="0"/>
    <x v="9"/>
    <x v="2"/>
    <s v="Male"/>
    <n v="35"/>
    <n v="335.04"/>
    <n v="410.77"/>
    <n v="11726.4"/>
    <n v="14376.95"/>
    <n v="2650.55"/>
  </r>
  <r>
    <x v="64"/>
    <s v="Amit"/>
    <x v="3"/>
    <x v="11"/>
    <x v="3"/>
    <s v="Male"/>
    <n v="35"/>
    <n v="827.31"/>
    <n v="1116.56"/>
    <n v="28955.85"/>
    <n v="39079.599999999999"/>
    <n v="10123.75"/>
  </r>
  <r>
    <x v="169"/>
    <s v="Rahul"/>
    <x v="2"/>
    <x v="4"/>
    <x v="3"/>
    <s v="Female"/>
    <n v="18"/>
    <n v="723.01"/>
    <n v="928.46"/>
    <n v="13014.18"/>
    <n v="16712.28"/>
    <n v="3698.1"/>
  </r>
  <r>
    <x v="322"/>
    <s v="Vikas"/>
    <x v="1"/>
    <x v="1"/>
    <x v="1"/>
    <s v="Female"/>
    <n v="33"/>
    <n v="528.86"/>
    <n v="768.1"/>
    <n v="17452.38"/>
    <n v="25347.3"/>
    <n v="7894.92"/>
  </r>
  <r>
    <x v="267"/>
    <s v="Rohit"/>
    <x v="1"/>
    <x v="1"/>
    <x v="1"/>
    <s v="Female"/>
    <n v="3"/>
    <n v="434.08"/>
    <n v="603.62"/>
    <n v="1302.24"/>
    <n v="1810.86"/>
    <n v="508.62"/>
  </r>
  <r>
    <x v="27"/>
    <s v="Rahul"/>
    <x v="1"/>
    <x v="1"/>
    <x v="3"/>
    <s v="Male"/>
    <n v="1"/>
    <n v="942.6"/>
    <n v="1064.7"/>
    <n v="942.6"/>
    <n v="1064.7"/>
    <n v="122.1"/>
  </r>
  <r>
    <x v="265"/>
    <s v="Amit"/>
    <x v="3"/>
    <x v="5"/>
    <x v="0"/>
    <s v="Female"/>
    <n v="30"/>
    <n v="598.42999999999995"/>
    <n v="891.51"/>
    <n v="17952.900000000001"/>
    <n v="26745.3"/>
    <n v="8792.4"/>
  </r>
  <r>
    <x v="129"/>
    <s v="Neha"/>
    <x v="1"/>
    <x v="3"/>
    <x v="0"/>
    <s v="Male"/>
    <n v="40"/>
    <n v="772.67"/>
    <n v="1085.57"/>
    <n v="30906.799999999999"/>
    <n v="43422.8"/>
    <n v="12516"/>
  </r>
  <r>
    <x v="304"/>
    <s v="Rohit"/>
    <x v="2"/>
    <x v="4"/>
    <x v="3"/>
    <s v="Male"/>
    <n v="17"/>
    <n v="190.13"/>
    <n v="249.76"/>
    <n v="3232.21"/>
    <n v="4245.92"/>
    <n v="1013.71"/>
  </r>
  <r>
    <x v="181"/>
    <s v="Amit"/>
    <x v="3"/>
    <x v="5"/>
    <x v="4"/>
    <s v="Female"/>
    <n v="34"/>
    <n v="240.57"/>
    <n v="325.73"/>
    <n v="8179.38"/>
    <n v="11074.82"/>
    <n v="2895.44"/>
  </r>
  <r>
    <x v="147"/>
    <s v="Neha"/>
    <x v="0"/>
    <x v="9"/>
    <x v="1"/>
    <s v="Female"/>
    <n v="9"/>
    <n v="369.67"/>
    <n v="468"/>
    <n v="3327.03"/>
    <n v="4212"/>
    <n v="884.97"/>
  </r>
  <r>
    <x v="84"/>
    <s v="Rahul"/>
    <x v="3"/>
    <x v="5"/>
    <x v="5"/>
    <s v="Female"/>
    <n v="35"/>
    <n v="504.98"/>
    <n v="639.17999999999995"/>
    <n v="17674.3"/>
    <n v="22371.3"/>
    <n v="4697"/>
  </r>
  <r>
    <x v="193"/>
    <s v="Priya"/>
    <x v="1"/>
    <x v="1"/>
    <x v="4"/>
    <s v="Female"/>
    <n v="49"/>
    <n v="265.01"/>
    <n v="370.97"/>
    <n v="12985.49"/>
    <n v="18177.53"/>
    <n v="5192.04"/>
  </r>
  <r>
    <x v="323"/>
    <s v="Kiran"/>
    <x v="3"/>
    <x v="11"/>
    <x v="4"/>
    <s v="Male"/>
    <n v="16"/>
    <n v="194.22"/>
    <n v="279.88"/>
    <n v="3107.52"/>
    <n v="4478.08"/>
    <n v="1370.56"/>
  </r>
  <r>
    <x v="242"/>
    <s v="Pooja"/>
    <x v="2"/>
    <x v="7"/>
    <x v="3"/>
    <s v="Female"/>
    <n v="30"/>
    <n v="387.82"/>
    <n v="426.83"/>
    <n v="11634.6"/>
    <n v="12804.9"/>
    <n v="1170.3"/>
  </r>
  <r>
    <x v="14"/>
    <s v="Priya"/>
    <x v="0"/>
    <x v="10"/>
    <x v="2"/>
    <s v="Male"/>
    <n v="8"/>
    <n v="66.19"/>
    <n v="93.39"/>
    <n v="529.52"/>
    <n v="747.12"/>
    <n v="217.6"/>
  </r>
  <r>
    <x v="72"/>
    <s v="Sneha"/>
    <x v="3"/>
    <x v="6"/>
    <x v="1"/>
    <s v="Female"/>
    <n v="22"/>
    <n v="100.13"/>
    <n v="129.21"/>
    <n v="2202.86"/>
    <n v="2842.62"/>
    <n v="639.76"/>
  </r>
  <r>
    <x v="324"/>
    <s v="Rohit"/>
    <x v="0"/>
    <x v="0"/>
    <x v="4"/>
    <s v="Female"/>
    <n v="2"/>
    <n v="943.92"/>
    <n v="1133.95"/>
    <n v="1887.84"/>
    <n v="2267.9"/>
    <n v="380.06"/>
  </r>
  <r>
    <x v="89"/>
    <s v="Amit"/>
    <x v="0"/>
    <x v="0"/>
    <x v="3"/>
    <s v="Male"/>
    <n v="13"/>
    <n v="455.55"/>
    <n v="649.75"/>
    <n v="5922.15"/>
    <n v="8446.75"/>
    <n v="2524.6"/>
  </r>
  <r>
    <x v="283"/>
    <s v="Rohit"/>
    <x v="2"/>
    <x v="7"/>
    <x v="0"/>
    <s v="Male"/>
    <n v="47"/>
    <n v="760.93"/>
    <n v="982.39"/>
    <n v="35763.71"/>
    <n v="46172.33"/>
    <n v="10408.620000000001"/>
  </r>
  <r>
    <x v="178"/>
    <s v="Ankit"/>
    <x v="1"/>
    <x v="2"/>
    <x v="5"/>
    <s v="Male"/>
    <n v="31"/>
    <n v="868.25"/>
    <n v="988.67"/>
    <n v="26915.75"/>
    <n v="30648.77"/>
    <n v="3733.02"/>
  </r>
  <r>
    <x v="192"/>
    <s v="Kiran"/>
    <x v="2"/>
    <x v="7"/>
    <x v="1"/>
    <s v="Male"/>
    <n v="25"/>
    <n v="900.29"/>
    <n v="1196.77"/>
    <n v="22507.25"/>
    <n v="29919.25"/>
    <n v="7412"/>
  </r>
  <r>
    <x v="264"/>
    <s v="Sneha"/>
    <x v="3"/>
    <x v="11"/>
    <x v="2"/>
    <s v="Female"/>
    <n v="25"/>
    <n v="712.48"/>
    <n v="904.67"/>
    <n v="17812"/>
    <n v="22616.75"/>
    <n v="4804.75"/>
  </r>
  <r>
    <x v="301"/>
    <s v="Amit"/>
    <x v="0"/>
    <x v="0"/>
    <x v="1"/>
    <s v="Male"/>
    <n v="47"/>
    <n v="283.64"/>
    <n v="371.44"/>
    <n v="13331.08"/>
    <n v="17457.68"/>
    <n v="4126.6000000000004"/>
  </r>
  <r>
    <x v="130"/>
    <s v="Priya"/>
    <x v="0"/>
    <x v="10"/>
    <x v="5"/>
    <s v="Female"/>
    <n v="1"/>
    <n v="601.05999999999995"/>
    <n v="724.68"/>
    <n v="601.05999999999995"/>
    <n v="724.68"/>
    <n v="123.62"/>
  </r>
  <r>
    <x v="81"/>
    <s v="Priya"/>
    <x v="2"/>
    <x v="8"/>
    <x v="5"/>
    <s v="Female"/>
    <n v="25"/>
    <n v="693.9"/>
    <n v="1028.8900000000001"/>
    <n v="17347.5"/>
    <n v="25722.25"/>
    <n v="8374.75"/>
  </r>
  <r>
    <x v="132"/>
    <s v="Neha"/>
    <x v="1"/>
    <x v="3"/>
    <x v="0"/>
    <s v="Male"/>
    <n v="46"/>
    <n v="249.33"/>
    <n v="331.27"/>
    <n v="11469.18"/>
    <n v="15238.42"/>
    <n v="3769.24"/>
  </r>
  <r>
    <x v="0"/>
    <s v="Neha"/>
    <x v="3"/>
    <x v="6"/>
    <x v="4"/>
    <s v="Female"/>
    <n v="2"/>
    <n v="231.16"/>
    <n v="307.95"/>
    <n v="462.32"/>
    <n v="615.9"/>
    <n v="153.58000000000001"/>
  </r>
  <r>
    <x v="155"/>
    <s v="Rahul"/>
    <x v="0"/>
    <x v="9"/>
    <x v="5"/>
    <s v="Female"/>
    <n v="9"/>
    <n v="983.41"/>
    <n v="1380.3"/>
    <n v="8850.69"/>
    <n v="12422.7"/>
    <n v="3572.01"/>
  </r>
  <r>
    <x v="98"/>
    <s v="Pooja"/>
    <x v="0"/>
    <x v="9"/>
    <x v="0"/>
    <s v="Male"/>
    <n v="15"/>
    <n v="430.95"/>
    <n v="597.13"/>
    <n v="6464.25"/>
    <n v="8956.9500000000007"/>
    <n v="2492.6999999999998"/>
  </r>
  <r>
    <x v="277"/>
    <s v="Rohit"/>
    <x v="3"/>
    <x v="5"/>
    <x v="3"/>
    <s v="Male"/>
    <n v="34"/>
    <n v="466.19"/>
    <n v="695.92"/>
    <n v="15850.46"/>
    <n v="23661.279999999999"/>
    <n v="7810.82"/>
  </r>
  <r>
    <x v="18"/>
    <s v="Kiran"/>
    <x v="3"/>
    <x v="6"/>
    <x v="0"/>
    <s v="Male"/>
    <n v="22"/>
    <n v="742.11"/>
    <n v="866.44"/>
    <n v="16326.42"/>
    <n v="19061.68"/>
    <n v="2735.26"/>
  </r>
  <r>
    <x v="101"/>
    <s v="Pooja"/>
    <x v="1"/>
    <x v="1"/>
    <x v="2"/>
    <s v="Female"/>
    <n v="45"/>
    <n v="468.7"/>
    <n v="558.37"/>
    <n v="21091.5"/>
    <n v="25126.65"/>
    <n v="4035.15"/>
  </r>
  <r>
    <x v="217"/>
    <s v="Rahul"/>
    <x v="3"/>
    <x v="6"/>
    <x v="5"/>
    <s v="Male"/>
    <n v="22"/>
    <n v="141.65"/>
    <n v="166.99"/>
    <n v="3116.3"/>
    <n v="3673.78"/>
    <n v="557.48"/>
  </r>
  <r>
    <x v="201"/>
    <s v="Rahul"/>
    <x v="1"/>
    <x v="3"/>
    <x v="4"/>
    <s v="Female"/>
    <n v="7"/>
    <n v="429.32"/>
    <n v="621.04"/>
    <n v="3005.24"/>
    <n v="4347.28"/>
    <n v="1342.04"/>
  </r>
  <r>
    <x v="315"/>
    <s v="Rahul"/>
    <x v="1"/>
    <x v="3"/>
    <x v="4"/>
    <s v="Male"/>
    <n v="44"/>
    <n v="356.06"/>
    <n v="447"/>
    <n v="15666.64"/>
    <n v="19668"/>
    <n v="4001.36"/>
  </r>
  <r>
    <x v="325"/>
    <s v="Priya"/>
    <x v="0"/>
    <x v="10"/>
    <x v="1"/>
    <s v="Female"/>
    <n v="12"/>
    <n v="115.18"/>
    <n v="137.37"/>
    <n v="1382.16"/>
    <n v="1648.44"/>
    <n v="266.27999999999997"/>
  </r>
  <r>
    <x v="143"/>
    <s v="Amit"/>
    <x v="1"/>
    <x v="2"/>
    <x v="1"/>
    <s v="Male"/>
    <n v="12"/>
    <n v="414.15"/>
    <n v="602.98"/>
    <n v="4969.8"/>
    <n v="7235.76"/>
    <n v="2265.96"/>
  </r>
  <r>
    <x v="220"/>
    <s v="Vikas"/>
    <x v="2"/>
    <x v="8"/>
    <x v="0"/>
    <s v="Male"/>
    <n v="16"/>
    <n v="708.72"/>
    <n v="911.48"/>
    <n v="11339.52"/>
    <n v="14583.68"/>
    <n v="3244.16"/>
  </r>
  <r>
    <x v="96"/>
    <s v="Priya"/>
    <x v="0"/>
    <x v="10"/>
    <x v="3"/>
    <s v="Male"/>
    <n v="29"/>
    <n v="939.15"/>
    <n v="1043.9100000000001"/>
    <n v="27235.35"/>
    <n v="30273.39"/>
    <n v="3038.04"/>
  </r>
  <r>
    <x v="163"/>
    <s v="Sneha"/>
    <x v="2"/>
    <x v="7"/>
    <x v="0"/>
    <s v="Male"/>
    <n v="7"/>
    <n v="168.13"/>
    <n v="214.22"/>
    <n v="1176.9100000000001"/>
    <n v="1499.54"/>
    <n v="322.63"/>
  </r>
  <r>
    <x v="186"/>
    <s v="Neha"/>
    <x v="3"/>
    <x v="11"/>
    <x v="1"/>
    <s v="Male"/>
    <n v="27"/>
    <n v="758.83"/>
    <n v="876.58"/>
    <n v="20488.41"/>
    <n v="23667.66"/>
    <n v="3179.25"/>
  </r>
  <r>
    <x v="210"/>
    <s v="Pooja"/>
    <x v="0"/>
    <x v="10"/>
    <x v="3"/>
    <s v="Female"/>
    <n v="33"/>
    <n v="463.73"/>
    <n v="550.86"/>
    <n v="15303.09"/>
    <n v="18178.38"/>
    <n v="2875.29"/>
  </r>
  <r>
    <x v="183"/>
    <s v="Rahul"/>
    <x v="0"/>
    <x v="10"/>
    <x v="4"/>
    <s v="Female"/>
    <n v="37"/>
    <n v="495.05"/>
    <n v="619.65"/>
    <n v="18316.849999999999"/>
    <n v="22927.05"/>
    <n v="4610.2"/>
  </r>
  <r>
    <x v="91"/>
    <s v="Neha"/>
    <x v="0"/>
    <x v="10"/>
    <x v="0"/>
    <s v="Male"/>
    <n v="13"/>
    <n v="117.86"/>
    <n v="168.36"/>
    <n v="1532.18"/>
    <n v="2188.6799999999998"/>
    <n v="656.5"/>
  </r>
  <r>
    <x v="74"/>
    <s v="Rohit"/>
    <x v="1"/>
    <x v="3"/>
    <x v="1"/>
    <s v="Female"/>
    <n v="48"/>
    <n v="964.11"/>
    <n v="1141.71"/>
    <n v="46277.279999999999"/>
    <n v="54802.080000000002"/>
    <n v="8524.7999999999993"/>
  </r>
  <r>
    <x v="239"/>
    <s v="Kiran"/>
    <x v="0"/>
    <x v="10"/>
    <x v="4"/>
    <s v="Male"/>
    <n v="10"/>
    <n v="586.72"/>
    <n v="681.2"/>
    <n v="5867.2"/>
    <n v="6812"/>
    <n v="944.8"/>
  </r>
  <r>
    <x v="266"/>
    <s v="Rahul"/>
    <x v="3"/>
    <x v="6"/>
    <x v="1"/>
    <s v="Female"/>
    <n v="40"/>
    <n v="735.57"/>
    <n v="968.27"/>
    <n v="29422.799999999999"/>
    <n v="38730.800000000003"/>
    <n v="9308"/>
  </r>
  <r>
    <x v="326"/>
    <s v="Ankit"/>
    <x v="0"/>
    <x v="9"/>
    <x v="3"/>
    <s v="Female"/>
    <n v="2"/>
    <n v="335.83"/>
    <n v="454.9"/>
    <n v="671.66"/>
    <n v="909.8"/>
    <n v="238.14"/>
  </r>
  <r>
    <x v="327"/>
    <s v="Neha"/>
    <x v="1"/>
    <x v="2"/>
    <x v="3"/>
    <s v="Male"/>
    <n v="49"/>
    <n v="453.77"/>
    <n v="530.21"/>
    <n v="22234.73"/>
    <n v="25980.29"/>
    <n v="3745.56"/>
  </r>
  <r>
    <x v="30"/>
    <s v="Rohit"/>
    <x v="2"/>
    <x v="8"/>
    <x v="3"/>
    <s v="Male"/>
    <n v="4"/>
    <n v="129.72"/>
    <n v="167.68"/>
    <n v="518.88"/>
    <n v="670.72"/>
    <n v="151.84"/>
  </r>
  <r>
    <x v="17"/>
    <s v="Vikas"/>
    <x v="1"/>
    <x v="3"/>
    <x v="2"/>
    <s v="Female"/>
    <n v="35"/>
    <n v="590.12"/>
    <n v="737.34"/>
    <n v="20654.2"/>
    <n v="25806.9"/>
    <n v="5152.7"/>
  </r>
  <r>
    <x v="6"/>
    <s v="Amit"/>
    <x v="2"/>
    <x v="4"/>
    <x v="1"/>
    <s v="Female"/>
    <n v="14"/>
    <n v="961.62"/>
    <n v="1131.6600000000001"/>
    <n v="13462.68"/>
    <n v="15843.24"/>
    <n v="2380.56"/>
  </r>
  <r>
    <x v="134"/>
    <s v="Kiran"/>
    <x v="3"/>
    <x v="5"/>
    <x v="2"/>
    <s v="Female"/>
    <n v="12"/>
    <n v="845.29"/>
    <n v="1213.23"/>
    <n v="10143.48"/>
    <n v="14558.76"/>
    <n v="4415.28"/>
  </r>
  <r>
    <x v="223"/>
    <s v="Vikas"/>
    <x v="1"/>
    <x v="1"/>
    <x v="5"/>
    <s v="Female"/>
    <n v="32"/>
    <n v="928.84"/>
    <n v="1045.8399999999999"/>
    <n v="29722.880000000001"/>
    <n v="33466.879999999997"/>
    <n v="3744"/>
  </r>
  <r>
    <x v="277"/>
    <s v="Priya"/>
    <x v="0"/>
    <x v="10"/>
    <x v="3"/>
    <s v="Male"/>
    <n v="19"/>
    <n v="481.86"/>
    <n v="636.30999999999995"/>
    <n v="9155.34"/>
    <n v="12089.89"/>
    <n v="2934.55"/>
  </r>
  <r>
    <x v="251"/>
    <s v="Pooja"/>
    <x v="0"/>
    <x v="0"/>
    <x v="2"/>
    <s v="Female"/>
    <n v="40"/>
    <n v="491.99"/>
    <n v="651.24"/>
    <n v="19679.599999999999"/>
    <n v="26049.599999999999"/>
    <n v="6370"/>
  </r>
  <r>
    <x v="16"/>
    <s v="Priya"/>
    <x v="1"/>
    <x v="3"/>
    <x v="0"/>
    <s v="Male"/>
    <n v="6"/>
    <n v="790.71"/>
    <n v="1169.54"/>
    <n v="4744.26"/>
    <n v="7017.24"/>
    <n v="2272.98"/>
  </r>
  <r>
    <x v="323"/>
    <s v="Vikas"/>
    <x v="3"/>
    <x v="11"/>
    <x v="0"/>
    <s v="Female"/>
    <n v="1"/>
    <n v="181.45"/>
    <n v="254.65"/>
    <n v="181.45"/>
    <n v="254.65"/>
    <n v="73.2"/>
  </r>
  <r>
    <x v="170"/>
    <s v="Amit"/>
    <x v="0"/>
    <x v="0"/>
    <x v="0"/>
    <s v="Female"/>
    <n v="8"/>
    <n v="311.92"/>
    <n v="353.34"/>
    <n v="2495.36"/>
    <n v="2826.72"/>
    <n v="331.36"/>
  </r>
  <r>
    <x v="179"/>
    <s v="Priya"/>
    <x v="3"/>
    <x v="11"/>
    <x v="5"/>
    <s v="Male"/>
    <n v="26"/>
    <n v="656.77"/>
    <n v="925.13"/>
    <n v="17076.02"/>
    <n v="24053.38"/>
    <n v="6977.36"/>
  </r>
  <r>
    <x v="328"/>
    <s v="Neha"/>
    <x v="0"/>
    <x v="9"/>
    <x v="5"/>
    <s v="Female"/>
    <n v="9"/>
    <n v="684.73"/>
    <n v="919.27"/>
    <n v="6162.57"/>
    <n v="8273.43"/>
    <n v="2110.86"/>
  </r>
  <r>
    <x v="138"/>
    <s v="Rohit"/>
    <x v="0"/>
    <x v="0"/>
    <x v="2"/>
    <s v="Male"/>
    <n v="35"/>
    <n v="953.03"/>
    <n v="1118.71"/>
    <n v="33356.050000000003"/>
    <n v="39154.85"/>
    <n v="5798.8"/>
  </r>
  <r>
    <x v="326"/>
    <s v="Neha"/>
    <x v="2"/>
    <x v="4"/>
    <x v="4"/>
    <s v="Female"/>
    <n v="9"/>
    <n v="410.45"/>
    <n v="589.57000000000005"/>
    <n v="3694.05"/>
    <n v="5306.13"/>
    <n v="1612.08"/>
  </r>
  <r>
    <x v="201"/>
    <s v="Sneha"/>
    <x v="0"/>
    <x v="9"/>
    <x v="3"/>
    <s v="Male"/>
    <n v="25"/>
    <n v="548.58000000000004"/>
    <n v="607.66999999999996"/>
    <n v="13714.5"/>
    <n v="15191.75"/>
    <n v="1477.25"/>
  </r>
  <r>
    <x v="325"/>
    <s v="Amit"/>
    <x v="2"/>
    <x v="4"/>
    <x v="1"/>
    <s v="Male"/>
    <n v="21"/>
    <n v="399.15"/>
    <n v="594.66"/>
    <n v="8382.15"/>
    <n v="12487.86"/>
    <n v="4105.71"/>
  </r>
  <r>
    <x v="230"/>
    <s v="Pooja"/>
    <x v="3"/>
    <x v="5"/>
    <x v="2"/>
    <s v="Male"/>
    <n v="4"/>
    <n v="522.09"/>
    <n v="756.12"/>
    <n v="2088.36"/>
    <n v="3024.48"/>
    <n v="936.12"/>
  </r>
  <r>
    <x v="280"/>
    <s v="Rohit"/>
    <x v="1"/>
    <x v="3"/>
    <x v="5"/>
    <s v="Female"/>
    <n v="33"/>
    <n v="132.09"/>
    <n v="173.88"/>
    <n v="4358.97"/>
    <n v="5738.04"/>
    <n v="1379.07"/>
  </r>
  <r>
    <x v="247"/>
    <s v="Priya"/>
    <x v="3"/>
    <x v="5"/>
    <x v="3"/>
    <s v="Male"/>
    <n v="30"/>
    <n v="931.34"/>
    <n v="1094.0899999999999"/>
    <n v="27940.2"/>
    <n v="32822.699999999997"/>
    <n v="4882.5"/>
  </r>
  <r>
    <x v="255"/>
    <s v="Amit"/>
    <x v="1"/>
    <x v="2"/>
    <x v="3"/>
    <s v="Male"/>
    <n v="18"/>
    <n v="883.99"/>
    <n v="997.52"/>
    <n v="15911.82"/>
    <n v="17955.36"/>
    <n v="2043.54"/>
  </r>
  <r>
    <x v="258"/>
    <s v="Kiran"/>
    <x v="3"/>
    <x v="5"/>
    <x v="0"/>
    <s v="Female"/>
    <n v="43"/>
    <n v="103.7"/>
    <n v="128.63"/>
    <n v="4459.1000000000004"/>
    <n v="5531.09"/>
    <n v="1071.99"/>
  </r>
  <r>
    <x v="312"/>
    <s v="Neha"/>
    <x v="0"/>
    <x v="0"/>
    <x v="3"/>
    <s v="Male"/>
    <n v="46"/>
    <n v="774.65"/>
    <n v="1151.73"/>
    <n v="35633.9"/>
    <n v="52979.58"/>
    <n v="17345.68"/>
  </r>
  <r>
    <x v="301"/>
    <s v="Rohit"/>
    <x v="1"/>
    <x v="2"/>
    <x v="1"/>
    <s v="Male"/>
    <n v="24"/>
    <n v="346.07"/>
    <n v="432.71"/>
    <n v="8305.68"/>
    <n v="10385.040000000001"/>
    <n v="2079.36"/>
  </r>
  <r>
    <x v="252"/>
    <s v="Amit"/>
    <x v="2"/>
    <x v="4"/>
    <x v="3"/>
    <s v="Male"/>
    <n v="2"/>
    <n v="815.16"/>
    <n v="931.27"/>
    <n v="1630.32"/>
    <n v="1862.54"/>
    <n v="232.22"/>
  </r>
  <r>
    <x v="16"/>
    <s v="Vikas"/>
    <x v="1"/>
    <x v="2"/>
    <x v="4"/>
    <s v="Female"/>
    <n v="31"/>
    <n v="448.22"/>
    <n v="508.75"/>
    <n v="13894.82"/>
    <n v="15771.25"/>
    <n v="1876.43"/>
  </r>
  <r>
    <x v="304"/>
    <s v="Neha"/>
    <x v="0"/>
    <x v="10"/>
    <x v="0"/>
    <s v="Male"/>
    <n v="19"/>
    <n v="318.07"/>
    <n v="427.19"/>
    <n v="6043.33"/>
    <n v="8116.61"/>
    <n v="2073.2800000000002"/>
  </r>
  <r>
    <x v="110"/>
    <s v="Vikas"/>
    <x v="0"/>
    <x v="10"/>
    <x v="4"/>
    <s v="Female"/>
    <n v="14"/>
    <n v="382.61"/>
    <n v="482.78"/>
    <n v="5356.54"/>
    <n v="6758.92"/>
    <n v="1402.38"/>
  </r>
  <r>
    <x v="129"/>
    <s v="Rahul"/>
    <x v="0"/>
    <x v="10"/>
    <x v="5"/>
    <s v="Male"/>
    <n v="26"/>
    <n v="381.91"/>
    <n v="502.53"/>
    <n v="9929.66"/>
    <n v="13065.78"/>
    <n v="3136.12"/>
  </r>
  <r>
    <x v="197"/>
    <s v="Priya"/>
    <x v="0"/>
    <x v="10"/>
    <x v="4"/>
    <s v="Female"/>
    <n v="12"/>
    <n v="965.27"/>
    <n v="1250.77"/>
    <n v="11583.24"/>
    <n v="15009.24"/>
    <n v="3426"/>
  </r>
  <r>
    <x v="329"/>
    <s v="Kiran"/>
    <x v="3"/>
    <x v="5"/>
    <x v="0"/>
    <s v="Male"/>
    <n v="22"/>
    <n v="744.84"/>
    <n v="1055.58"/>
    <n v="16386.48"/>
    <n v="23222.76"/>
    <n v="6836.28"/>
  </r>
  <r>
    <x v="167"/>
    <s v="Kiran"/>
    <x v="3"/>
    <x v="11"/>
    <x v="4"/>
    <s v="Female"/>
    <n v="15"/>
    <n v="217.04"/>
    <n v="243.16"/>
    <n v="3255.6"/>
    <n v="3647.4"/>
    <n v="391.8"/>
  </r>
  <r>
    <x v="57"/>
    <s v="Vikas"/>
    <x v="2"/>
    <x v="7"/>
    <x v="2"/>
    <s v="Male"/>
    <n v="49"/>
    <n v="188.67"/>
    <n v="229.3"/>
    <n v="9244.83"/>
    <n v="11235.7"/>
    <n v="1990.87"/>
  </r>
  <r>
    <x v="225"/>
    <s v="Priya"/>
    <x v="1"/>
    <x v="3"/>
    <x v="2"/>
    <s v="Female"/>
    <n v="42"/>
    <n v="980.85"/>
    <n v="1380.25"/>
    <n v="41195.699999999997"/>
    <n v="57970.5"/>
    <n v="16774.8"/>
  </r>
  <r>
    <x v="123"/>
    <s v="Kiran"/>
    <x v="0"/>
    <x v="0"/>
    <x v="1"/>
    <s v="Female"/>
    <n v="14"/>
    <n v="744.32"/>
    <n v="1010.94"/>
    <n v="10420.48"/>
    <n v="14153.16"/>
    <n v="3732.68"/>
  </r>
  <r>
    <x v="63"/>
    <s v="Vikas"/>
    <x v="1"/>
    <x v="1"/>
    <x v="4"/>
    <s v="Male"/>
    <n v="45"/>
    <n v="310.76"/>
    <n v="453.52"/>
    <n v="13984.2"/>
    <n v="20408.400000000001"/>
    <n v="6424.2"/>
  </r>
  <r>
    <x v="74"/>
    <s v="Ankit"/>
    <x v="1"/>
    <x v="2"/>
    <x v="1"/>
    <s v="Female"/>
    <n v="28"/>
    <n v="375.72"/>
    <n v="415.07"/>
    <n v="10520.16"/>
    <n v="11621.96"/>
    <n v="1101.8"/>
  </r>
  <r>
    <x v="146"/>
    <s v="Ankit"/>
    <x v="0"/>
    <x v="9"/>
    <x v="5"/>
    <s v="Female"/>
    <n v="45"/>
    <n v="107.88"/>
    <n v="134.94"/>
    <n v="4854.6000000000004"/>
    <n v="6072.3"/>
    <n v="1217.7"/>
  </r>
  <r>
    <x v="177"/>
    <s v="Priya"/>
    <x v="0"/>
    <x v="9"/>
    <x v="1"/>
    <s v="Male"/>
    <n v="6"/>
    <n v="688.22"/>
    <n v="1027.92"/>
    <n v="4129.32"/>
    <n v="6167.52"/>
    <n v="2038.2"/>
  </r>
  <r>
    <x v="137"/>
    <s v="Vikas"/>
    <x v="2"/>
    <x v="8"/>
    <x v="4"/>
    <s v="Male"/>
    <n v="7"/>
    <n v="876.15"/>
    <n v="1184.04"/>
    <n v="6133.05"/>
    <n v="8288.2800000000007"/>
    <n v="2155.23"/>
  </r>
  <r>
    <x v="297"/>
    <s v="Rohit"/>
    <x v="0"/>
    <x v="0"/>
    <x v="2"/>
    <s v="Male"/>
    <n v="28"/>
    <n v="552.86"/>
    <n v="642.82000000000005"/>
    <n v="15480.08"/>
    <n v="17998.96"/>
    <n v="2518.88"/>
  </r>
  <r>
    <x v="85"/>
    <s v="Amit"/>
    <x v="0"/>
    <x v="10"/>
    <x v="4"/>
    <s v="Female"/>
    <n v="12"/>
    <n v="297.41000000000003"/>
    <n v="432.94"/>
    <n v="3568.92"/>
    <n v="5195.28"/>
    <n v="1626.36"/>
  </r>
  <r>
    <x v="175"/>
    <s v="Pooja"/>
    <x v="1"/>
    <x v="1"/>
    <x v="1"/>
    <s v="Male"/>
    <n v="6"/>
    <n v="496.6"/>
    <n v="728.01"/>
    <n v="2979.6"/>
    <n v="4368.0600000000004"/>
    <n v="1388.46"/>
  </r>
  <r>
    <x v="287"/>
    <s v="Kiran"/>
    <x v="2"/>
    <x v="7"/>
    <x v="2"/>
    <s v="Male"/>
    <n v="40"/>
    <n v="216.32"/>
    <n v="312.07"/>
    <n v="8652.7999999999993"/>
    <n v="12482.8"/>
    <n v="3830"/>
  </r>
  <r>
    <x v="211"/>
    <s v="Rohit"/>
    <x v="1"/>
    <x v="3"/>
    <x v="0"/>
    <s v="Female"/>
    <n v="15"/>
    <n v="463.7"/>
    <n v="638.29999999999995"/>
    <n v="6955.5"/>
    <n v="9574.5"/>
    <n v="2619"/>
  </r>
  <r>
    <x v="115"/>
    <s v="Neha"/>
    <x v="2"/>
    <x v="4"/>
    <x v="4"/>
    <s v="Male"/>
    <n v="20"/>
    <n v="880.87"/>
    <n v="1219.93"/>
    <n v="17617.400000000001"/>
    <n v="24398.6"/>
    <n v="6781.2"/>
  </r>
  <r>
    <x v="72"/>
    <s v="Priya"/>
    <x v="3"/>
    <x v="11"/>
    <x v="4"/>
    <s v="Male"/>
    <n v="15"/>
    <n v="906.09"/>
    <n v="1151.7"/>
    <n v="13591.35"/>
    <n v="17275.5"/>
    <n v="3684.15"/>
  </r>
  <r>
    <x v="311"/>
    <s v="Rahul"/>
    <x v="0"/>
    <x v="9"/>
    <x v="1"/>
    <s v="Female"/>
    <n v="2"/>
    <n v="715.9"/>
    <n v="830.94"/>
    <n v="1431.8"/>
    <n v="1661.88"/>
    <n v="230.08"/>
  </r>
  <r>
    <x v="147"/>
    <s v="Rahul"/>
    <x v="0"/>
    <x v="9"/>
    <x v="1"/>
    <s v="Male"/>
    <n v="41"/>
    <n v="552.20000000000005"/>
    <n v="641.6"/>
    <n v="22640.2"/>
    <n v="26305.599999999999"/>
    <n v="3665.4"/>
  </r>
  <r>
    <x v="330"/>
    <s v="Neha"/>
    <x v="1"/>
    <x v="2"/>
    <x v="4"/>
    <s v="Female"/>
    <n v="35"/>
    <n v="851.78"/>
    <n v="1114.5899999999999"/>
    <n v="29812.3"/>
    <n v="39010.65"/>
    <n v="9198.35"/>
  </r>
  <r>
    <x v="316"/>
    <s v="Sneha"/>
    <x v="2"/>
    <x v="4"/>
    <x v="2"/>
    <s v="Female"/>
    <n v="11"/>
    <n v="476.26"/>
    <n v="656.16"/>
    <n v="5238.8599999999997"/>
    <n v="7217.76"/>
    <n v="1978.9"/>
  </r>
  <r>
    <x v="37"/>
    <s v="Kiran"/>
    <x v="0"/>
    <x v="10"/>
    <x v="5"/>
    <s v="Male"/>
    <n v="22"/>
    <n v="399.73"/>
    <n v="473.86"/>
    <n v="8794.06"/>
    <n v="10424.92"/>
    <n v="1630.86"/>
  </r>
  <r>
    <x v="117"/>
    <s v="Rahul"/>
    <x v="3"/>
    <x v="11"/>
    <x v="5"/>
    <s v="Male"/>
    <n v="4"/>
    <n v="454.74"/>
    <n v="522.44000000000005"/>
    <n v="1818.96"/>
    <n v="2089.7600000000002"/>
    <n v="270.8"/>
  </r>
  <r>
    <x v="226"/>
    <s v="Ankit"/>
    <x v="0"/>
    <x v="0"/>
    <x v="1"/>
    <s v="Male"/>
    <n v="33"/>
    <n v="422.65"/>
    <n v="522.29999999999995"/>
    <n v="13947.45"/>
    <n v="17235.900000000001"/>
    <n v="3288.45"/>
  </r>
  <r>
    <x v="130"/>
    <s v="Kiran"/>
    <x v="3"/>
    <x v="5"/>
    <x v="2"/>
    <s v="Male"/>
    <n v="35"/>
    <n v="71.55"/>
    <n v="92.51"/>
    <n v="2504.25"/>
    <n v="3237.85"/>
    <n v="733.6"/>
  </r>
  <r>
    <x v="173"/>
    <s v="Kiran"/>
    <x v="0"/>
    <x v="10"/>
    <x v="3"/>
    <s v="Male"/>
    <n v="13"/>
    <n v="597.9"/>
    <n v="663.16"/>
    <n v="7772.7"/>
    <n v="8621.08"/>
    <n v="848.38"/>
  </r>
  <r>
    <x v="13"/>
    <s v="Neha"/>
    <x v="3"/>
    <x v="5"/>
    <x v="3"/>
    <s v="Male"/>
    <n v="34"/>
    <n v="79.430000000000007"/>
    <n v="102.22"/>
    <n v="2700.62"/>
    <n v="3475.48"/>
    <n v="774.86"/>
  </r>
  <r>
    <x v="267"/>
    <s v="Priya"/>
    <x v="0"/>
    <x v="10"/>
    <x v="5"/>
    <s v="Male"/>
    <n v="35"/>
    <n v="794.36"/>
    <n v="1143.3499999999999"/>
    <n v="27802.6"/>
    <n v="40017.25"/>
    <n v="12214.65"/>
  </r>
  <r>
    <x v="313"/>
    <s v="Ankit"/>
    <x v="3"/>
    <x v="11"/>
    <x v="1"/>
    <s v="Female"/>
    <n v="48"/>
    <n v="722.2"/>
    <n v="1022.96"/>
    <n v="34665.599999999999"/>
    <n v="49102.080000000002"/>
    <n v="14436.48"/>
  </r>
  <r>
    <x v="160"/>
    <s v="Rahul"/>
    <x v="2"/>
    <x v="8"/>
    <x v="5"/>
    <s v="Female"/>
    <n v="4"/>
    <n v="670.18"/>
    <n v="847.36"/>
    <n v="2680.72"/>
    <n v="3389.44"/>
    <n v="708.72"/>
  </r>
  <r>
    <x v="211"/>
    <s v="Ankit"/>
    <x v="3"/>
    <x v="5"/>
    <x v="5"/>
    <s v="Male"/>
    <n v="20"/>
    <n v="449.65"/>
    <n v="602.55999999999995"/>
    <n v="8993"/>
    <n v="12051.2"/>
    <n v="3058.2"/>
  </r>
  <r>
    <x v="200"/>
    <s v="Neha"/>
    <x v="0"/>
    <x v="10"/>
    <x v="0"/>
    <s v="Male"/>
    <n v="10"/>
    <n v="930.72"/>
    <n v="1085.25"/>
    <n v="9307.2000000000007"/>
    <n v="10852.5"/>
    <n v="1545.3"/>
  </r>
  <r>
    <x v="265"/>
    <s v="Ankit"/>
    <x v="1"/>
    <x v="1"/>
    <x v="1"/>
    <s v="Male"/>
    <n v="42"/>
    <n v="140.66999999999999"/>
    <n v="203.68"/>
    <n v="5908.14"/>
    <n v="8554.56"/>
    <n v="2646.42"/>
  </r>
  <r>
    <x v="307"/>
    <s v="Pooja"/>
    <x v="3"/>
    <x v="6"/>
    <x v="5"/>
    <s v="Female"/>
    <n v="27"/>
    <n v="213.23"/>
    <n v="273.88"/>
    <n v="5757.21"/>
    <n v="7394.76"/>
    <n v="1637.55"/>
  </r>
  <r>
    <x v="221"/>
    <s v="Pooja"/>
    <x v="1"/>
    <x v="3"/>
    <x v="2"/>
    <s v="Male"/>
    <n v="36"/>
    <n v="65.13"/>
    <n v="96.39"/>
    <n v="2344.6799999999998"/>
    <n v="3470.04"/>
    <n v="1125.3599999999999"/>
  </r>
  <r>
    <x v="144"/>
    <s v="Sneha"/>
    <x v="2"/>
    <x v="4"/>
    <x v="2"/>
    <s v="Male"/>
    <n v="49"/>
    <n v="216.43"/>
    <n v="295.70999999999998"/>
    <n v="10605.07"/>
    <n v="14489.79"/>
    <n v="3884.72"/>
  </r>
  <r>
    <x v="129"/>
    <s v="Priya"/>
    <x v="3"/>
    <x v="6"/>
    <x v="1"/>
    <s v="Female"/>
    <n v="8"/>
    <n v="722.32"/>
    <n v="795.63"/>
    <n v="5778.56"/>
    <n v="6365.04"/>
    <n v="586.48"/>
  </r>
  <r>
    <x v="203"/>
    <s v="Ankit"/>
    <x v="2"/>
    <x v="7"/>
    <x v="4"/>
    <s v="Male"/>
    <n v="29"/>
    <n v="570.52"/>
    <n v="729.84"/>
    <n v="16545.080000000002"/>
    <n v="21165.360000000001"/>
    <n v="4620.28"/>
  </r>
  <r>
    <x v="331"/>
    <s v="Vikas"/>
    <x v="0"/>
    <x v="9"/>
    <x v="1"/>
    <s v="Male"/>
    <n v="34"/>
    <n v="784.14"/>
    <n v="989.01"/>
    <n v="26660.76"/>
    <n v="33626.339999999997"/>
    <n v="6965.58"/>
  </r>
  <r>
    <x v="295"/>
    <s v="Priya"/>
    <x v="3"/>
    <x v="5"/>
    <x v="1"/>
    <s v="Female"/>
    <n v="20"/>
    <n v="386.48"/>
    <n v="455.06"/>
    <n v="7729.6"/>
    <n v="9101.2000000000007"/>
    <n v="1371.6"/>
  </r>
  <r>
    <x v="178"/>
    <s v="Rohit"/>
    <x v="3"/>
    <x v="5"/>
    <x v="4"/>
    <s v="Female"/>
    <n v="13"/>
    <n v="914.04"/>
    <n v="1101.31"/>
    <n v="11882.52"/>
    <n v="14317.03"/>
    <n v="2434.5100000000002"/>
  </r>
  <r>
    <x v="145"/>
    <s v="Ankit"/>
    <x v="3"/>
    <x v="11"/>
    <x v="0"/>
    <s v="Male"/>
    <n v="47"/>
    <n v="156.27000000000001"/>
    <n v="195.63"/>
    <n v="7344.69"/>
    <n v="9194.61"/>
    <n v="1849.92"/>
  </r>
  <r>
    <x v="289"/>
    <s v="Neha"/>
    <x v="0"/>
    <x v="0"/>
    <x v="0"/>
    <s v="Male"/>
    <n v="47"/>
    <n v="358.17"/>
    <n v="428.12"/>
    <n v="16833.990000000002"/>
    <n v="20121.64"/>
    <n v="3287.65"/>
  </r>
  <r>
    <x v="272"/>
    <s v="Ankit"/>
    <x v="1"/>
    <x v="1"/>
    <x v="0"/>
    <s v="Female"/>
    <n v="7"/>
    <n v="737.01"/>
    <n v="857.57"/>
    <n v="5159.07"/>
    <n v="6002.99"/>
    <n v="843.92"/>
  </r>
  <r>
    <x v="238"/>
    <s v="Rohit"/>
    <x v="3"/>
    <x v="5"/>
    <x v="5"/>
    <s v="Female"/>
    <n v="2"/>
    <n v="479.43"/>
    <n v="601.26"/>
    <n v="958.86"/>
    <n v="1202.52"/>
    <n v="243.66"/>
  </r>
  <r>
    <x v="295"/>
    <s v="Rahul"/>
    <x v="1"/>
    <x v="1"/>
    <x v="1"/>
    <s v="Male"/>
    <n v="22"/>
    <n v="684.67"/>
    <n v="954.46"/>
    <n v="15062.74"/>
    <n v="20998.12"/>
    <n v="5935.38"/>
  </r>
  <r>
    <x v="332"/>
    <s v="Kiran"/>
    <x v="2"/>
    <x v="4"/>
    <x v="5"/>
    <s v="Male"/>
    <n v="35"/>
    <n v="921.37"/>
    <n v="1014.87"/>
    <n v="32247.95"/>
    <n v="35520.449999999997"/>
    <n v="3272.5"/>
  </r>
  <r>
    <x v="64"/>
    <s v="Sneha"/>
    <x v="0"/>
    <x v="10"/>
    <x v="1"/>
    <s v="Male"/>
    <n v="47"/>
    <n v="651.01"/>
    <n v="873.22"/>
    <n v="30597.47"/>
    <n v="41041.339999999997"/>
    <n v="10443.870000000001"/>
  </r>
  <r>
    <x v="269"/>
    <s v="Rahul"/>
    <x v="0"/>
    <x v="9"/>
    <x v="2"/>
    <s v="Male"/>
    <n v="3"/>
    <n v="855.76"/>
    <n v="1108.42"/>
    <n v="2567.2800000000002"/>
    <n v="3325.26"/>
    <n v="757.98"/>
  </r>
  <r>
    <x v="333"/>
    <s v="Sneha"/>
    <x v="2"/>
    <x v="8"/>
    <x v="3"/>
    <s v="Male"/>
    <n v="3"/>
    <n v="299.92"/>
    <n v="400.82"/>
    <n v="899.76"/>
    <n v="1202.46"/>
    <n v="302.7"/>
  </r>
  <r>
    <x v="1"/>
    <s v="Ankit"/>
    <x v="1"/>
    <x v="2"/>
    <x v="5"/>
    <s v="Male"/>
    <n v="26"/>
    <n v="764.39"/>
    <n v="851.77"/>
    <n v="19874.14"/>
    <n v="22146.02"/>
    <n v="2271.88"/>
  </r>
  <r>
    <x v="258"/>
    <s v="Amit"/>
    <x v="1"/>
    <x v="1"/>
    <x v="5"/>
    <s v="Male"/>
    <n v="13"/>
    <n v="271.88"/>
    <n v="345.39"/>
    <n v="3534.44"/>
    <n v="4490.07"/>
    <n v="955.63"/>
  </r>
  <r>
    <x v="161"/>
    <s v="Amit"/>
    <x v="0"/>
    <x v="9"/>
    <x v="2"/>
    <s v="Female"/>
    <n v="12"/>
    <n v="250.19"/>
    <n v="372.22"/>
    <n v="3002.28"/>
    <n v="4466.6400000000003"/>
    <n v="1464.36"/>
  </r>
  <r>
    <x v="91"/>
    <s v="Amit"/>
    <x v="3"/>
    <x v="6"/>
    <x v="0"/>
    <s v="Male"/>
    <n v="37"/>
    <n v="223.8"/>
    <n v="307.42"/>
    <n v="8280.6"/>
    <n v="11374.54"/>
    <n v="3093.94"/>
  </r>
  <r>
    <x v="25"/>
    <s v="Priya"/>
    <x v="3"/>
    <x v="5"/>
    <x v="4"/>
    <s v="Male"/>
    <n v="8"/>
    <n v="65.349999999999994"/>
    <n v="86"/>
    <n v="522.79999999999995"/>
    <n v="688"/>
    <n v="165.2"/>
  </r>
  <r>
    <x v="200"/>
    <s v="Amit"/>
    <x v="0"/>
    <x v="9"/>
    <x v="2"/>
    <s v="Female"/>
    <n v="21"/>
    <n v="176.2"/>
    <n v="222.26"/>
    <n v="3700.2"/>
    <n v="4667.46"/>
    <n v="967.26"/>
  </r>
  <r>
    <x v="334"/>
    <s v="Sneha"/>
    <x v="3"/>
    <x v="5"/>
    <x v="1"/>
    <s v="Male"/>
    <n v="34"/>
    <n v="307.60000000000002"/>
    <n v="416.46"/>
    <n v="10458.4"/>
    <n v="14159.64"/>
    <n v="3701.24"/>
  </r>
  <r>
    <x v="335"/>
    <s v="Rahul"/>
    <x v="3"/>
    <x v="6"/>
    <x v="0"/>
    <s v="Female"/>
    <n v="13"/>
    <n v="264.89999999999998"/>
    <n v="359.12"/>
    <n v="3443.7"/>
    <n v="4668.5600000000004"/>
    <n v="1224.8599999999999"/>
  </r>
  <r>
    <x v="12"/>
    <s v="Neha"/>
    <x v="3"/>
    <x v="6"/>
    <x v="2"/>
    <s v="Female"/>
    <n v="3"/>
    <n v="446.87"/>
    <n v="630.15"/>
    <n v="1340.61"/>
    <n v="1890.45"/>
    <n v="549.84"/>
  </r>
  <r>
    <x v="84"/>
    <s v="Sneha"/>
    <x v="0"/>
    <x v="10"/>
    <x v="1"/>
    <s v="Male"/>
    <n v="14"/>
    <n v="960.43"/>
    <n v="1095.03"/>
    <n v="13446.02"/>
    <n v="15330.42"/>
    <n v="1884.4"/>
  </r>
  <r>
    <x v="215"/>
    <s v="Vikas"/>
    <x v="0"/>
    <x v="0"/>
    <x v="4"/>
    <s v="Male"/>
    <n v="12"/>
    <n v="781.15"/>
    <n v="905.01"/>
    <n v="9373.7999999999993"/>
    <n v="10860.12"/>
    <n v="1486.32"/>
  </r>
  <r>
    <x v="12"/>
    <s v="Rahul"/>
    <x v="1"/>
    <x v="3"/>
    <x v="0"/>
    <s v="Male"/>
    <n v="40"/>
    <n v="746.5"/>
    <n v="1003.74"/>
    <n v="29860"/>
    <n v="40149.599999999999"/>
    <n v="10289.6"/>
  </r>
  <r>
    <x v="256"/>
    <s v="Amit"/>
    <x v="2"/>
    <x v="7"/>
    <x v="3"/>
    <s v="Female"/>
    <n v="21"/>
    <n v="461.51"/>
    <n v="644.6"/>
    <n v="9691.7099999999991"/>
    <n v="13536.6"/>
    <n v="3844.89"/>
  </r>
  <r>
    <x v="199"/>
    <s v="Amit"/>
    <x v="0"/>
    <x v="10"/>
    <x v="1"/>
    <s v="Male"/>
    <n v="40"/>
    <n v="136.52000000000001"/>
    <n v="179.38"/>
    <n v="5460.8"/>
    <n v="7175.2"/>
    <n v="1714.4"/>
  </r>
  <r>
    <x v="291"/>
    <s v="Amit"/>
    <x v="3"/>
    <x v="6"/>
    <x v="0"/>
    <s v="Female"/>
    <n v="32"/>
    <n v="804.42"/>
    <n v="888.64"/>
    <n v="25741.439999999999"/>
    <n v="28436.48"/>
    <n v="2695.04"/>
  </r>
  <r>
    <x v="252"/>
    <s v="Sneha"/>
    <x v="2"/>
    <x v="4"/>
    <x v="2"/>
    <s v="Female"/>
    <n v="37"/>
    <n v="499.16"/>
    <n v="724.24"/>
    <n v="18468.919999999998"/>
    <n v="26796.880000000001"/>
    <n v="8327.9599999999991"/>
  </r>
  <r>
    <x v="41"/>
    <s v="Amit"/>
    <x v="1"/>
    <x v="1"/>
    <x v="0"/>
    <s v="Female"/>
    <n v="13"/>
    <n v="706.84"/>
    <n v="858.37"/>
    <n v="9188.92"/>
    <n v="11158.81"/>
    <n v="1969.89"/>
  </r>
  <r>
    <x v="107"/>
    <s v="Amit"/>
    <x v="2"/>
    <x v="7"/>
    <x v="5"/>
    <s v="Male"/>
    <n v="23"/>
    <n v="91.16"/>
    <n v="116.91"/>
    <n v="2096.6799999999998"/>
    <n v="2688.93"/>
    <n v="592.25"/>
  </r>
  <r>
    <x v="84"/>
    <s v="Ankit"/>
    <x v="1"/>
    <x v="1"/>
    <x v="2"/>
    <s v="Male"/>
    <n v="40"/>
    <n v="250.82"/>
    <n v="307.06"/>
    <n v="10032.799999999999"/>
    <n v="12282.4"/>
    <n v="2249.6"/>
  </r>
  <r>
    <x v="36"/>
    <s v="Rahul"/>
    <x v="0"/>
    <x v="10"/>
    <x v="3"/>
    <s v="Female"/>
    <n v="15"/>
    <n v="513.29"/>
    <n v="576.25"/>
    <n v="7699.35"/>
    <n v="8643.75"/>
    <n v="944.4"/>
  </r>
  <r>
    <x v="336"/>
    <s v="Sneha"/>
    <x v="2"/>
    <x v="4"/>
    <x v="4"/>
    <s v="Male"/>
    <n v="8"/>
    <n v="706.93"/>
    <n v="942.84"/>
    <n v="5655.44"/>
    <n v="7542.72"/>
    <n v="1887.28"/>
  </r>
  <r>
    <x v="136"/>
    <s v="Vikas"/>
    <x v="3"/>
    <x v="5"/>
    <x v="4"/>
    <s v="Male"/>
    <n v="33"/>
    <n v="360.87"/>
    <n v="526.16"/>
    <n v="11908.71"/>
    <n v="17363.28"/>
    <n v="5454.57"/>
  </r>
  <r>
    <x v="299"/>
    <s v="Amit"/>
    <x v="3"/>
    <x v="11"/>
    <x v="0"/>
    <s v="Male"/>
    <n v="47"/>
    <n v="828.21"/>
    <n v="978.52"/>
    <n v="38925.870000000003"/>
    <n v="45990.44"/>
    <n v="7064.57"/>
  </r>
  <r>
    <x v="196"/>
    <s v="Ankit"/>
    <x v="1"/>
    <x v="3"/>
    <x v="4"/>
    <s v="Female"/>
    <n v="40"/>
    <n v="825.71"/>
    <n v="1044.83"/>
    <n v="33028.400000000001"/>
    <n v="41793.199999999997"/>
    <n v="8764.7999999999993"/>
  </r>
  <r>
    <x v="23"/>
    <s v="Rohit"/>
    <x v="0"/>
    <x v="0"/>
    <x v="1"/>
    <s v="Female"/>
    <n v="50"/>
    <n v="574.41999999999996"/>
    <n v="686.43"/>
    <n v="28721"/>
    <n v="34321.5"/>
    <n v="5600.5"/>
  </r>
  <r>
    <x v="119"/>
    <s v="Kiran"/>
    <x v="0"/>
    <x v="9"/>
    <x v="2"/>
    <s v="Male"/>
    <n v="40"/>
    <n v="154.94"/>
    <n v="225.17"/>
    <n v="6197.6"/>
    <n v="9006.7999999999993"/>
    <n v="2809.2"/>
  </r>
  <r>
    <x v="337"/>
    <s v="Ankit"/>
    <x v="2"/>
    <x v="8"/>
    <x v="5"/>
    <s v="Male"/>
    <n v="1"/>
    <n v="789.17"/>
    <n v="1088.05"/>
    <n v="789.17"/>
    <n v="1088.05"/>
    <n v="298.88"/>
  </r>
  <r>
    <x v="200"/>
    <s v="Rahul"/>
    <x v="0"/>
    <x v="0"/>
    <x v="1"/>
    <s v="Male"/>
    <n v="10"/>
    <n v="707.73"/>
    <n v="995.22"/>
    <n v="7077.3"/>
    <n v="9952.2000000000007"/>
    <n v="2874.9"/>
  </r>
  <r>
    <x v="100"/>
    <s v="Rahul"/>
    <x v="0"/>
    <x v="9"/>
    <x v="5"/>
    <s v="Female"/>
    <n v="3"/>
    <n v="415.77"/>
    <n v="503.43"/>
    <n v="1247.31"/>
    <n v="1510.29"/>
    <n v="262.98"/>
  </r>
  <r>
    <x v="31"/>
    <s v="Rahul"/>
    <x v="1"/>
    <x v="1"/>
    <x v="2"/>
    <s v="Female"/>
    <n v="25"/>
    <n v="793.7"/>
    <n v="928.87"/>
    <n v="19842.5"/>
    <n v="23221.75"/>
    <n v="3379.25"/>
  </r>
  <r>
    <x v="12"/>
    <s v="Vikas"/>
    <x v="2"/>
    <x v="4"/>
    <x v="4"/>
    <s v="Female"/>
    <n v="33"/>
    <n v="993.88"/>
    <n v="1135.3399999999999"/>
    <n v="32798.04"/>
    <n v="37466.22"/>
    <n v="4668.18"/>
  </r>
  <r>
    <x v="45"/>
    <s v="Neha"/>
    <x v="0"/>
    <x v="0"/>
    <x v="0"/>
    <s v="Female"/>
    <n v="29"/>
    <n v="547.11"/>
    <n v="807.14"/>
    <n v="15866.19"/>
    <n v="23407.06"/>
    <n v="7540.87"/>
  </r>
  <r>
    <x v="130"/>
    <s v="Rohit"/>
    <x v="0"/>
    <x v="0"/>
    <x v="0"/>
    <s v="Female"/>
    <n v="22"/>
    <n v="588.76"/>
    <n v="875.24"/>
    <n v="12952.72"/>
    <n v="19255.28"/>
    <n v="6302.56"/>
  </r>
  <r>
    <x v="30"/>
    <s v="Rohit"/>
    <x v="1"/>
    <x v="3"/>
    <x v="0"/>
    <s v="Male"/>
    <n v="37"/>
    <n v="707.62"/>
    <n v="892.91"/>
    <n v="26181.94"/>
    <n v="33037.67"/>
    <n v="6855.73"/>
  </r>
  <r>
    <x v="304"/>
    <s v="Rahul"/>
    <x v="2"/>
    <x v="4"/>
    <x v="2"/>
    <s v="Male"/>
    <n v="27"/>
    <n v="226.7"/>
    <n v="296.33999999999997"/>
    <n v="6120.9"/>
    <n v="8001.18"/>
    <n v="1880.28"/>
  </r>
  <r>
    <x v="260"/>
    <s v="Kiran"/>
    <x v="2"/>
    <x v="7"/>
    <x v="3"/>
    <s v="Female"/>
    <n v="38"/>
    <n v="145.16"/>
    <n v="194.27"/>
    <n v="5516.08"/>
    <n v="7382.26"/>
    <n v="1866.18"/>
  </r>
  <r>
    <x v="263"/>
    <s v="Pooja"/>
    <x v="2"/>
    <x v="8"/>
    <x v="0"/>
    <s v="Male"/>
    <n v="50"/>
    <n v="243.4"/>
    <n v="288.08"/>
    <n v="12170"/>
    <n v="14404"/>
    <n v="2234"/>
  </r>
  <r>
    <x v="142"/>
    <s v="Ankit"/>
    <x v="3"/>
    <x v="5"/>
    <x v="0"/>
    <s v="Male"/>
    <n v="10"/>
    <n v="861.21"/>
    <n v="1241.25"/>
    <n v="8612.1"/>
    <n v="12412.5"/>
    <n v="3800.4"/>
  </r>
  <r>
    <x v="120"/>
    <s v="Vikas"/>
    <x v="3"/>
    <x v="11"/>
    <x v="1"/>
    <s v="Male"/>
    <n v="6"/>
    <n v="306.01"/>
    <n v="348.03"/>
    <n v="1836.06"/>
    <n v="2088.1799999999998"/>
    <n v="252.12"/>
  </r>
  <r>
    <x v="209"/>
    <s v="Kiran"/>
    <x v="0"/>
    <x v="10"/>
    <x v="3"/>
    <s v="Male"/>
    <n v="9"/>
    <n v="567.48"/>
    <n v="688.93"/>
    <n v="5107.32"/>
    <n v="6200.37"/>
    <n v="1093.05"/>
  </r>
  <r>
    <x v="274"/>
    <s v="Kiran"/>
    <x v="1"/>
    <x v="1"/>
    <x v="3"/>
    <s v="Male"/>
    <n v="19"/>
    <n v="83.14"/>
    <n v="113.36"/>
    <n v="1579.66"/>
    <n v="2153.84"/>
    <n v="574.17999999999995"/>
  </r>
  <r>
    <x v="290"/>
    <s v="Pooja"/>
    <x v="0"/>
    <x v="9"/>
    <x v="4"/>
    <s v="Female"/>
    <n v="11"/>
    <n v="523.38"/>
    <n v="705.13"/>
    <n v="5757.18"/>
    <n v="7756.43"/>
    <n v="1999.25"/>
  </r>
  <r>
    <x v="166"/>
    <s v="Ankit"/>
    <x v="2"/>
    <x v="8"/>
    <x v="0"/>
    <s v="Female"/>
    <n v="35"/>
    <n v="165.6"/>
    <n v="189.94"/>
    <n v="5796"/>
    <n v="6647.9"/>
    <n v="851.9"/>
  </r>
  <r>
    <x v="143"/>
    <s v="Kiran"/>
    <x v="3"/>
    <x v="11"/>
    <x v="5"/>
    <s v="Female"/>
    <n v="43"/>
    <n v="363.6"/>
    <n v="513.91999999999996"/>
    <n v="15634.8"/>
    <n v="22098.560000000001"/>
    <n v="6463.76"/>
  </r>
  <r>
    <x v="179"/>
    <s v="Amit"/>
    <x v="1"/>
    <x v="2"/>
    <x v="3"/>
    <s v="Male"/>
    <n v="43"/>
    <n v="355.28"/>
    <n v="417.67"/>
    <n v="15277.04"/>
    <n v="17959.810000000001"/>
    <n v="2682.77"/>
  </r>
  <r>
    <x v="338"/>
    <s v="Ankit"/>
    <x v="1"/>
    <x v="2"/>
    <x v="3"/>
    <s v="Male"/>
    <n v="19"/>
    <n v="75.11"/>
    <n v="88.67"/>
    <n v="1427.09"/>
    <n v="1684.73"/>
    <n v="257.64"/>
  </r>
  <r>
    <x v="71"/>
    <s v="Amit"/>
    <x v="1"/>
    <x v="3"/>
    <x v="1"/>
    <s v="Female"/>
    <n v="12"/>
    <n v="585.5"/>
    <n v="705.73"/>
    <n v="7026"/>
    <n v="8468.76"/>
    <n v="1442.76"/>
  </r>
  <r>
    <x v="272"/>
    <s v="Sneha"/>
    <x v="2"/>
    <x v="8"/>
    <x v="3"/>
    <s v="Female"/>
    <n v="35"/>
    <n v="836.98"/>
    <n v="1050.68"/>
    <n v="29294.3"/>
    <n v="36773.800000000003"/>
    <n v="7479.5"/>
  </r>
  <r>
    <x v="14"/>
    <s v="Vikas"/>
    <x v="2"/>
    <x v="8"/>
    <x v="4"/>
    <s v="Female"/>
    <n v="37"/>
    <n v="656.07"/>
    <n v="822.88"/>
    <n v="24274.59"/>
    <n v="30446.560000000001"/>
    <n v="6171.97"/>
  </r>
  <r>
    <x v="339"/>
    <s v="Rahul"/>
    <x v="1"/>
    <x v="1"/>
    <x v="0"/>
    <s v="Male"/>
    <n v="8"/>
    <n v="445.78"/>
    <n v="620.03"/>
    <n v="3566.24"/>
    <n v="4960.24"/>
    <n v="1394"/>
  </r>
  <r>
    <x v="15"/>
    <s v="Priya"/>
    <x v="3"/>
    <x v="5"/>
    <x v="2"/>
    <s v="Male"/>
    <n v="33"/>
    <n v="610.64"/>
    <n v="759.32"/>
    <n v="20151.12"/>
    <n v="25057.56"/>
    <n v="4906.4399999999996"/>
  </r>
  <r>
    <x v="104"/>
    <s v="Ankit"/>
    <x v="1"/>
    <x v="1"/>
    <x v="2"/>
    <s v="Female"/>
    <n v="8"/>
    <n v="817.1"/>
    <n v="1067.5899999999999"/>
    <n v="6536.8"/>
    <n v="8540.7199999999993"/>
    <n v="2003.92"/>
  </r>
  <r>
    <x v="245"/>
    <s v="Neha"/>
    <x v="2"/>
    <x v="8"/>
    <x v="2"/>
    <s v="Male"/>
    <n v="33"/>
    <n v="240.81"/>
    <n v="326.86"/>
    <n v="7946.73"/>
    <n v="10786.38"/>
    <n v="2839.65"/>
  </r>
  <r>
    <x v="113"/>
    <s v="Pooja"/>
    <x v="0"/>
    <x v="9"/>
    <x v="2"/>
    <s v="Female"/>
    <n v="23"/>
    <n v="428.71"/>
    <n v="544.49"/>
    <n v="9860.33"/>
    <n v="12523.27"/>
    <n v="2662.94"/>
  </r>
  <r>
    <x v="314"/>
    <s v="Priya"/>
    <x v="0"/>
    <x v="0"/>
    <x v="4"/>
    <s v="Male"/>
    <n v="40"/>
    <n v="729.77"/>
    <n v="1089.94"/>
    <n v="29190.799999999999"/>
    <n v="43597.599999999999"/>
    <n v="14406.8"/>
  </r>
  <r>
    <x v="58"/>
    <s v="Ankit"/>
    <x v="3"/>
    <x v="11"/>
    <x v="4"/>
    <s v="Female"/>
    <n v="23"/>
    <n v="76.569999999999993"/>
    <n v="84.94"/>
    <n v="1761.11"/>
    <n v="1953.62"/>
    <n v="192.51"/>
  </r>
  <r>
    <x v="307"/>
    <s v="Ankit"/>
    <x v="2"/>
    <x v="7"/>
    <x v="5"/>
    <s v="Male"/>
    <n v="5"/>
    <n v="279.72000000000003"/>
    <n v="319.88"/>
    <n v="1398.6"/>
    <n v="1599.4"/>
    <n v="200.8"/>
  </r>
  <r>
    <x v="77"/>
    <s v="Kiran"/>
    <x v="1"/>
    <x v="2"/>
    <x v="4"/>
    <s v="Female"/>
    <n v="13"/>
    <n v="793.72"/>
    <n v="1024.47"/>
    <n v="10318.36"/>
    <n v="13318.11"/>
    <n v="2999.75"/>
  </r>
  <r>
    <x v="142"/>
    <s v="Vikas"/>
    <x v="1"/>
    <x v="3"/>
    <x v="1"/>
    <s v="Female"/>
    <n v="43"/>
    <n v="178.83"/>
    <n v="245.15"/>
    <n v="7689.69"/>
    <n v="10541.45"/>
    <n v="2851.76"/>
  </r>
  <r>
    <x v="62"/>
    <s v="Rahul"/>
    <x v="3"/>
    <x v="5"/>
    <x v="4"/>
    <s v="Female"/>
    <n v="20"/>
    <n v="727.22"/>
    <n v="938.96"/>
    <n v="14544.4"/>
    <n v="18779.2"/>
    <n v="4234.8"/>
  </r>
  <r>
    <x v="56"/>
    <s v="Neha"/>
    <x v="1"/>
    <x v="1"/>
    <x v="5"/>
    <s v="Male"/>
    <n v="29"/>
    <n v="147.4"/>
    <n v="173.88"/>
    <n v="4274.6000000000004"/>
    <n v="5042.5200000000004"/>
    <n v="767.92"/>
  </r>
  <r>
    <x v="111"/>
    <s v="Kiran"/>
    <x v="0"/>
    <x v="0"/>
    <x v="3"/>
    <s v="Female"/>
    <n v="6"/>
    <n v="613.78"/>
    <n v="711.08"/>
    <n v="3682.68"/>
    <n v="4266.4799999999996"/>
    <n v="583.79999999999995"/>
  </r>
  <r>
    <x v="95"/>
    <s v="Priya"/>
    <x v="3"/>
    <x v="6"/>
    <x v="5"/>
    <s v="Male"/>
    <n v="40"/>
    <n v="814.04"/>
    <n v="1173.19"/>
    <n v="32561.599999999999"/>
    <n v="46927.6"/>
    <n v="14366"/>
  </r>
  <r>
    <x v="55"/>
    <s v="Neha"/>
    <x v="1"/>
    <x v="3"/>
    <x v="1"/>
    <s v="Female"/>
    <n v="35"/>
    <n v="202.73"/>
    <n v="284.99"/>
    <n v="7095.55"/>
    <n v="9974.65"/>
    <n v="2879.1"/>
  </r>
  <r>
    <x v="69"/>
    <s v="Amit"/>
    <x v="1"/>
    <x v="2"/>
    <x v="0"/>
    <s v="Female"/>
    <n v="24"/>
    <n v="388.81"/>
    <n v="513.99"/>
    <n v="9331.44"/>
    <n v="12335.76"/>
    <n v="3004.32"/>
  </r>
  <r>
    <x v="124"/>
    <s v="Kiran"/>
    <x v="0"/>
    <x v="10"/>
    <x v="0"/>
    <s v="Female"/>
    <n v="32"/>
    <n v="850.66"/>
    <n v="1253.8399999999999"/>
    <n v="27221.119999999999"/>
    <n v="40122.879999999997"/>
    <n v="12901.76"/>
  </r>
  <r>
    <x v="191"/>
    <s v="Sneha"/>
    <x v="3"/>
    <x v="11"/>
    <x v="0"/>
    <s v="Male"/>
    <n v="49"/>
    <n v="456.67"/>
    <n v="649.59"/>
    <n v="22376.83"/>
    <n v="31829.91"/>
    <n v="9453.08"/>
  </r>
  <r>
    <x v="120"/>
    <s v="Kiran"/>
    <x v="0"/>
    <x v="0"/>
    <x v="4"/>
    <s v="Female"/>
    <n v="13"/>
    <n v="546.69000000000005"/>
    <n v="781.69"/>
    <n v="7106.97"/>
    <n v="10161.969999999999"/>
    <n v="3055"/>
  </r>
  <r>
    <x v="340"/>
    <s v="Rahul"/>
    <x v="1"/>
    <x v="1"/>
    <x v="0"/>
    <s v="Male"/>
    <n v="14"/>
    <n v="665.27"/>
    <n v="768.32"/>
    <n v="9313.7800000000007"/>
    <n v="10756.48"/>
    <n v="1442.7"/>
  </r>
  <r>
    <x v="280"/>
    <s v="Sneha"/>
    <x v="3"/>
    <x v="5"/>
    <x v="2"/>
    <s v="Male"/>
    <n v="13"/>
    <n v="605.26"/>
    <n v="763.08"/>
    <n v="7868.38"/>
    <n v="9920.0400000000009"/>
    <n v="2051.66"/>
  </r>
  <r>
    <x v="120"/>
    <s v="Sneha"/>
    <x v="1"/>
    <x v="2"/>
    <x v="2"/>
    <s v="Female"/>
    <n v="23"/>
    <n v="430.07"/>
    <n v="562.17999999999995"/>
    <n v="9891.61"/>
    <n v="12930.14"/>
    <n v="3038.53"/>
  </r>
  <r>
    <x v="115"/>
    <s v="Amit"/>
    <x v="2"/>
    <x v="7"/>
    <x v="3"/>
    <s v="Female"/>
    <n v="15"/>
    <n v="944.83"/>
    <n v="1050.49"/>
    <n v="14172.45"/>
    <n v="15757.35"/>
    <n v="1584.9"/>
  </r>
  <r>
    <x v="143"/>
    <s v="Amit"/>
    <x v="2"/>
    <x v="8"/>
    <x v="2"/>
    <s v="Female"/>
    <n v="21"/>
    <n v="606.41999999999996"/>
    <n v="828.34"/>
    <n v="12734.82"/>
    <n v="17395.14"/>
    <n v="4660.32"/>
  </r>
  <r>
    <x v="203"/>
    <s v="Rohit"/>
    <x v="2"/>
    <x v="4"/>
    <x v="0"/>
    <s v="Female"/>
    <n v="30"/>
    <n v="167.61"/>
    <n v="227.27"/>
    <n v="5028.3"/>
    <n v="6818.1"/>
    <n v="1789.8"/>
  </r>
  <r>
    <x v="162"/>
    <s v="Amit"/>
    <x v="3"/>
    <x v="11"/>
    <x v="5"/>
    <s v="Female"/>
    <n v="28"/>
    <n v="541.55999999999995"/>
    <n v="791.7"/>
    <n v="15163.68"/>
    <n v="22167.599999999999"/>
    <n v="7003.92"/>
  </r>
  <r>
    <x v="100"/>
    <s v="Rohit"/>
    <x v="2"/>
    <x v="4"/>
    <x v="5"/>
    <s v="Male"/>
    <n v="1"/>
    <n v="253.54"/>
    <n v="285.26"/>
    <n v="253.54"/>
    <n v="285.26"/>
    <n v="31.72"/>
  </r>
  <r>
    <x v="317"/>
    <s v="Vikas"/>
    <x v="1"/>
    <x v="1"/>
    <x v="2"/>
    <s v="Male"/>
    <n v="36"/>
    <n v="640.30999999999995"/>
    <n v="727.6"/>
    <n v="23051.16"/>
    <n v="26193.599999999999"/>
    <n v="3142.44"/>
  </r>
  <r>
    <x v="63"/>
    <s v="Priya"/>
    <x v="1"/>
    <x v="2"/>
    <x v="1"/>
    <s v="Female"/>
    <n v="29"/>
    <n v="144.53"/>
    <n v="183.18"/>
    <n v="4191.37"/>
    <n v="5312.22"/>
    <n v="1120.8499999999999"/>
  </r>
  <r>
    <x v="94"/>
    <s v="Ankit"/>
    <x v="3"/>
    <x v="6"/>
    <x v="0"/>
    <s v="Female"/>
    <n v="41"/>
    <n v="619.41999999999996"/>
    <n v="875.35"/>
    <n v="25396.22"/>
    <n v="35889.35"/>
    <n v="10493.13"/>
  </r>
  <r>
    <x v="3"/>
    <s v="Rahul"/>
    <x v="3"/>
    <x v="5"/>
    <x v="0"/>
    <s v="Female"/>
    <n v="7"/>
    <n v="603.22"/>
    <n v="718.3"/>
    <n v="4222.54"/>
    <n v="5028.1000000000004"/>
    <n v="805.56"/>
  </r>
  <r>
    <x v="74"/>
    <s v="Amit"/>
    <x v="3"/>
    <x v="5"/>
    <x v="0"/>
    <s v="Male"/>
    <n v="21"/>
    <n v="73.260000000000005"/>
    <n v="102.68"/>
    <n v="1538.46"/>
    <n v="2156.2800000000002"/>
    <n v="617.82000000000005"/>
  </r>
  <r>
    <x v="19"/>
    <s v="Rahul"/>
    <x v="3"/>
    <x v="6"/>
    <x v="2"/>
    <s v="Male"/>
    <n v="48"/>
    <n v="325.98"/>
    <n v="456.37"/>
    <n v="15647.04"/>
    <n v="21905.759999999998"/>
    <n v="6258.72"/>
  </r>
  <r>
    <x v="56"/>
    <s v="Pooja"/>
    <x v="2"/>
    <x v="7"/>
    <x v="1"/>
    <s v="Female"/>
    <n v="16"/>
    <n v="781.97"/>
    <n v="1099.21"/>
    <n v="12511.52"/>
    <n v="17587.36"/>
    <n v="5075.84"/>
  </r>
  <r>
    <x v="16"/>
    <s v="Priya"/>
    <x v="2"/>
    <x v="4"/>
    <x v="4"/>
    <s v="Female"/>
    <n v="43"/>
    <n v="103.52"/>
    <n v="115.03"/>
    <n v="4451.3599999999997"/>
    <n v="4946.29"/>
    <n v="494.93"/>
  </r>
  <r>
    <x v="260"/>
    <s v="Amit"/>
    <x v="2"/>
    <x v="4"/>
    <x v="3"/>
    <s v="Male"/>
    <n v="19"/>
    <n v="772.98"/>
    <n v="1047.22"/>
    <n v="14686.62"/>
    <n v="19897.18"/>
    <n v="5210.5600000000004"/>
  </r>
  <r>
    <x v="236"/>
    <s v="Sneha"/>
    <x v="1"/>
    <x v="2"/>
    <x v="3"/>
    <s v="Female"/>
    <n v="24"/>
    <n v="509.54"/>
    <n v="657.29"/>
    <n v="12228.96"/>
    <n v="15774.96"/>
    <n v="3546"/>
  </r>
  <r>
    <x v="233"/>
    <s v="Amit"/>
    <x v="1"/>
    <x v="2"/>
    <x v="3"/>
    <s v="Male"/>
    <n v="37"/>
    <n v="235.71"/>
    <n v="288.11"/>
    <n v="8721.27"/>
    <n v="10660.07"/>
    <n v="1938.8"/>
  </r>
  <r>
    <x v="18"/>
    <s v="Sneha"/>
    <x v="0"/>
    <x v="10"/>
    <x v="5"/>
    <s v="Male"/>
    <n v="45"/>
    <n v="480.93"/>
    <n v="669.85"/>
    <n v="21641.85"/>
    <n v="30143.25"/>
    <n v="8501.4"/>
  </r>
  <r>
    <x v="238"/>
    <s v="Neha"/>
    <x v="1"/>
    <x v="3"/>
    <x v="0"/>
    <s v="Male"/>
    <n v="33"/>
    <n v="529.22"/>
    <n v="678.43"/>
    <n v="17464.259999999998"/>
    <n v="22388.19"/>
    <n v="4923.93"/>
  </r>
  <r>
    <x v="173"/>
    <s v="Sneha"/>
    <x v="3"/>
    <x v="6"/>
    <x v="5"/>
    <s v="Female"/>
    <n v="50"/>
    <n v="820.3"/>
    <n v="1165.52"/>
    <n v="41015"/>
    <n v="58276"/>
    <n v="17261"/>
  </r>
  <r>
    <x v="341"/>
    <s v="Ankit"/>
    <x v="1"/>
    <x v="2"/>
    <x v="1"/>
    <s v="Female"/>
    <n v="50"/>
    <n v="263.52999999999997"/>
    <n v="300.56"/>
    <n v="13176.5"/>
    <n v="15028"/>
    <n v="1851.5"/>
  </r>
  <r>
    <x v="330"/>
    <s v="Neha"/>
    <x v="3"/>
    <x v="11"/>
    <x v="4"/>
    <s v="Female"/>
    <n v="40"/>
    <n v="884.58"/>
    <n v="1118.6300000000001"/>
    <n v="35383.199999999997"/>
    <n v="44745.2"/>
    <n v="9362"/>
  </r>
  <r>
    <x v="294"/>
    <s v="Neha"/>
    <x v="1"/>
    <x v="3"/>
    <x v="5"/>
    <s v="Female"/>
    <n v="27"/>
    <n v="300.56"/>
    <n v="379.21"/>
    <n v="8115.12"/>
    <n v="10238.67"/>
    <n v="2123.5500000000002"/>
  </r>
  <r>
    <x v="342"/>
    <s v="Amit"/>
    <x v="3"/>
    <x v="6"/>
    <x v="5"/>
    <s v="Male"/>
    <n v="16"/>
    <n v="318.57"/>
    <n v="379.33"/>
    <n v="5097.12"/>
    <n v="6069.28"/>
    <n v="972.16"/>
  </r>
  <r>
    <x v="40"/>
    <s v="Kiran"/>
    <x v="1"/>
    <x v="1"/>
    <x v="5"/>
    <s v="Female"/>
    <n v="28"/>
    <n v="646.98"/>
    <n v="784.8"/>
    <n v="18115.439999999999"/>
    <n v="21974.400000000001"/>
    <n v="3858.96"/>
  </r>
  <r>
    <x v="220"/>
    <s v="Amit"/>
    <x v="1"/>
    <x v="2"/>
    <x v="0"/>
    <s v="Male"/>
    <n v="37"/>
    <n v="75.069999999999993"/>
    <n v="104.06"/>
    <n v="2777.59"/>
    <n v="3850.22"/>
    <n v="1072.6300000000001"/>
  </r>
  <r>
    <x v="304"/>
    <s v="Ankit"/>
    <x v="1"/>
    <x v="1"/>
    <x v="4"/>
    <s v="Female"/>
    <n v="37"/>
    <n v="226.63"/>
    <n v="323.18"/>
    <n v="8385.31"/>
    <n v="11957.66"/>
    <n v="3572.35"/>
  </r>
  <r>
    <x v="306"/>
    <s v="Sneha"/>
    <x v="2"/>
    <x v="4"/>
    <x v="1"/>
    <s v="Female"/>
    <n v="32"/>
    <n v="226.54"/>
    <n v="317.74"/>
    <n v="7249.28"/>
    <n v="10167.68"/>
    <n v="2918.4"/>
  </r>
  <r>
    <x v="231"/>
    <s v="Priya"/>
    <x v="1"/>
    <x v="1"/>
    <x v="2"/>
    <s v="Female"/>
    <n v="25"/>
    <n v="704.77"/>
    <n v="839.91"/>
    <n v="17619.25"/>
    <n v="20997.75"/>
    <n v="3378.5"/>
  </r>
  <r>
    <x v="75"/>
    <s v="Rahul"/>
    <x v="1"/>
    <x v="2"/>
    <x v="1"/>
    <s v="Female"/>
    <n v="24"/>
    <n v="730.72"/>
    <n v="1064.47"/>
    <n v="17537.28"/>
    <n v="25547.279999999999"/>
    <n v="8010"/>
  </r>
  <r>
    <x v="57"/>
    <s v="Rahul"/>
    <x v="3"/>
    <x v="11"/>
    <x v="2"/>
    <s v="Female"/>
    <n v="20"/>
    <n v="562.79"/>
    <n v="695.96"/>
    <n v="11255.8"/>
    <n v="13919.2"/>
    <n v="2663.4"/>
  </r>
  <r>
    <x v="244"/>
    <s v="Amit"/>
    <x v="3"/>
    <x v="5"/>
    <x v="0"/>
    <s v="Male"/>
    <n v="8"/>
    <n v="733.21"/>
    <n v="845.43"/>
    <n v="5865.68"/>
    <n v="6763.44"/>
    <n v="897.76"/>
  </r>
  <r>
    <x v="141"/>
    <s v="Ankit"/>
    <x v="0"/>
    <x v="9"/>
    <x v="1"/>
    <s v="Male"/>
    <n v="21"/>
    <n v="726.57"/>
    <n v="824.33"/>
    <n v="15257.97"/>
    <n v="17310.93"/>
    <n v="2052.96"/>
  </r>
  <r>
    <x v="70"/>
    <s v="Rahul"/>
    <x v="1"/>
    <x v="3"/>
    <x v="0"/>
    <s v="Female"/>
    <n v="36"/>
    <n v="814.13"/>
    <n v="1077.6300000000001"/>
    <n v="29308.68"/>
    <n v="38794.68"/>
    <n v="9486"/>
  </r>
  <r>
    <x v="343"/>
    <s v="Sneha"/>
    <x v="3"/>
    <x v="11"/>
    <x v="5"/>
    <s v="Female"/>
    <n v="45"/>
    <n v="294.74"/>
    <n v="349.21"/>
    <n v="13263.3"/>
    <n v="15714.45"/>
    <n v="2451.15"/>
  </r>
  <r>
    <x v="310"/>
    <s v="Sneha"/>
    <x v="1"/>
    <x v="3"/>
    <x v="5"/>
    <s v="Male"/>
    <n v="16"/>
    <n v="59.84"/>
    <n v="72.010000000000005"/>
    <n v="957.44"/>
    <n v="1152.1600000000001"/>
    <n v="194.72"/>
  </r>
  <r>
    <x v="45"/>
    <s v="Kiran"/>
    <x v="0"/>
    <x v="9"/>
    <x v="4"/>
    <s v="Female"/>
    <n v="30"/>
    <n v="895.12"/>
    <n v="1147.93"/>
    <n v="26853.599999999999"/>
    <n v="34437.9"/>
    <n v="7584.3"/>
  </r>
  <r>
    <x v="291"/>
    <s v="Kiran"/>
    <x v="0"/>
    <x v="10"/>
    <x v="0"/>
    <s v="Female"/>
    <n v="33"/>
    <n v="142.66999999999999"/>
    <n v="167.08"/>
    <n v="4708.1099999999997"/>
    <n v="5513.64"/>
    <n v="805.53"/>
  </r>
  <r>
    <x v="344"/>
    <s v="Pooja"/>
    <x v="0"/>
    <x v="9"/>
    <x v="4"/>
    <s v="Female"/>
    <n v="26"/>
    <n v="764.16"/>
    <n v="858.16"/>
    <n v="19868.16"/>
    <n v="22312.16"/>
    <n v="2444"/>
  </r>
  <r>
    <x v="250"/>
    <s v="Pooja"/>
    <x v="3"/>
    <x v="6"/>
    <x v="4"/>
    <s v="Female"/>
    <n v="46"/>
    <n v="889.69"/>
    <n v="1294.58"/>
    <n v="40925.74"/>
    <n v="59550.68"/>
    <n v="18624.939999999999"/>
  </r>
  <r>
    <x v="153"/>
    <s v="Amit"/>
    <x v="3"/>
    <x v="11"/>
    <x v="1"/>
    <s v="Male"/>
    <n v="30"/>
    <n v="856.88"/>
    <n v="1049.08"/>
    <n v="25706.400000000001"/>
    <n v="31472.400000000001"/>
    <n v="5766"/>
  </r>
  <r>
    <x v="219"/>
    <s v="Rohit"/>
    <x v="2"/>
    <x v="8"/>
    <x v="2"/>
    <s v="Male"/>
    <n v="36"/>
    <n v="821.67"/>
    <n v="912.93"/>
    <n v="29580.12"/>
    <n v="32865.480000000003"/>
    <n v="3285.36"/>
  </r>
  <r>
    <x v="328"/>
    <s v="Rahul"/>
    <x v="3"/>
    <x v="5"/>
    <x v="1"/>
    <s v="Male"/>
    <n v="25"/>
    <n v="320.13"/>
    <n v="435.11"/>
    <n v="8003.25"/>
    <n v="10877.75"/>
    <n v="2874.5"/>
  </r>
  <r>
    <x v="7"/>
    <s v="Rohit"/>
    <x v="0"/>
    <x v="0"/>
    <x v="2"/>
    <s v="Male"/>
    <n v="33"/>
    <n v="353.16"/>
    <n v="452.39"/>
    <n v="11654.28"/>
    <n v="14928.87"/>
    <n v="3274.59"/>
  </r>
  <r>
    <x v="269"/>
    <s v="Amit"/>
    <x v="2"/>
    <x v="4"/>
    <x v="0"/>
    <s v="Male"/>
    <n v="47"/>
    <n v="958.54"/>
    <n v="1210.49"/>
    <n v="45051.38"/>
    <n v="56893.03"/>
    <n v="11841.65"/>
  </r>
  <r>
    <x v="185"/>
    <s v="Vikas"/>
    <x v="0"/>
    <x v="0"/>
    <x v="3"/>
    <s v="Male"/>
    <n v="34"/>
    <n v="401.41"/>
    <n v="545.95000000000005"/>
    <n v="13647.94"/>
    <n v="18562.3"/>
    <n v="4914.3599999999997"/>
  </r>
  <r>
    <x v="68"/>
    <s v="Neha"/>
    <x v="0"/>
    <x v="10"/>
    <x v="1"/>
    <s v="Female"/>
    <n v="33"/>
    <n v="933.18"/>
    <n v="1276"/>
    <n v="30794.94"/>
    <n v="42108"/>
    <n v="11313.06"/>
  </r>
  <r>
    <x v="42"/>
    <s v="Rahul"/>
    <x v="0"/>
    <x v="10"/>
    <x v="4"/>
    <s v="Female"/>
    <n v="39"/>
    <n v="738.2"/>
    <n v="985.64"/>
    <n v="28789.8"/>
    <n v="38439.96"/>
    <n v="9650.16"/>
  </r>
  <r>
    <x v="288"/>
    <s v="Amit"/>
    <x v="0"/>
    <x v="9"/>
    <x v="0"/>
    <s v="Female"/>
    <n v="44"/>
    <n v="238.52"/>
    <n v="321.08999999999997"/>
    <n v="10494.88"/>
    <n v="14127.96"/>
    <n v="3633.08"/>
  </r>
  <r>
    <x v="69"/>
    <s v="Vikas"/>
    <x v="0"/>
    <x v="0"/>
    <x v="0"/>
    <s v="Male"/>
    <n v="35"/>
    <n v="287.99"/>
    <n v="385.23"/>
    <n v="10079.65"/>
    <n v="13483.05"/>
    <n v="3403.4"/>
  </r>
  <r>
    <x v="148"/>
    <s v="Rahul"/>
    <x v="1"/>
    <x v="2"/>
    <x v="3"/>
    <s v="Male"/>
    <n v="16"/>
    <n v="586.15"/>
    <n v="689.26"/>
    <n v="9378.4"/>
    <n v="11028.16"/>
    <n v="1649.76"/>
  </r>
  <r>
    <x v="55"/>
    <s v="Pooja"/>
    <x v="1"/>
    <x v="2"/>
    <x v="0"/>
    <s v="Female"/>
    <n v="20"/>
    <n v="900.2"/>
    <n v="1339.09"/>
    <n v="18004"/>
    <n v="26781.8"/>
    <n v="8777.7999999999993"/>
  </r>
  <r>
    <x v="91"/>
    <s v="Kiran"/>
    <x v="3"/>
    <x v="11"/>
    <x v="1"/>
    <s v="Male"/>
    <n v="14"/>
    <n v="166.62"/>
    <n v="237.32"/>
    <n v="2332.6799999999998"/>
    <n v="3322.48"/>
    <n v="989.8"/>
  </r>
  <r>
    <x v="188"/>
    <s v="Rahul"/>
    <x v="1"/>
    <x v="3"/>
    <x v="4"/>
    <s v="Female"/>
    <n v="34"/>
    <n v="55.08"/>
    <n v="64.89"/>
    <n v="1872.72"/>
    <n v="2206.2600000000002"/>
    <n v="333.54"/>
  </r>
  <r>
    <x v="30"/>
    <s v="Rohit"/>
    <x v="0"/>
    <x v="10"/>
    <x v="4"/>
    <s v="Female"/>
    <n v="40"/>
    <n v="198.11"/>
    <n v="232.3"/>
    <n v="7924.4"/>
    <n v="9292"/>
    <n v="1367.6"/>
  </r>
  <r>
    <x v="100"/>
    <s v="Ankit"/>
    <x v="0"/>
    <x v="0"/>
    <x v="5"/>
    <s v="Male"/>
    <n v="23"/>
    <n v="96.98"/>
    <n v="117.58"/>
    <n v="2230.54"/>
    <n v="2704.34"/>
    <n v="473.8"/>
  </r>
  <r>
    <x v="199"/>
    <s v="Amit"/>
    <x v="1"/>
    <x v="3"/>
    <x v="2"/>
    <s v="Female"/>
    <n v="7"/>
    <n v="119.97"/>
    <n v="135.5"/>
    <n v="839.79"/>
    <n v="948.5"/>
    <n v="108.71"/>
  </r>
  <r>
    <x v="294"/>
    <s v="Rahul"/>
    <x v="1"/>
    <x v="2"/>
    <x v="5"/>
    <s v="Male"/>
    <n v="50"/>
    <n v="832.98"/>
    <n v="1165.1300000000001"/>
    <n v="41649"/>
    <n v="58256.5"/>
    <n v="16607.5"/>
  </r>
  <r>
    <x v="73"/>
    <s v="Amit"/>
    <x v="0"/>
    <x v="10"/>
    <x v="3"/>
    <s v="Female"/>
    <n v="5"/>
    <n v="847.92"/>
    <n v="956.27"/>
    <n v="4239.6000000000004"/>
    <n v="4781.3500000000004"/>
    <n v="541.75"/>
  </r>
  <r>
    <x v="14"/>
    <s v="Priya"/>
    <x v="0"/>
    <x v="9"/>
    <x v="5"/>
    <s v="Male"/>
    <n v="47"/>
    <n v="416.58"/>
    <n v="598.44000000000005"/>
    <n v="19579.259999999998"/>
    <n v="28126.68"/>
    <n v="8547.42"/>
  </r>
  <r>
    <x v="218"/>
    <s v="Vikas"/>
    <x v="1"/>
    <x v="1"/>
    <x v="3"/>
    <s v="Male"/>
    <n v="20"/>
    <n v="156.5"/>
    <n v="219.23"/>
    <n v="3130"/>
    <n v="4384.6000000000004"/>
    <n v="1254.5999999999999"/>
  </r>
  <r>
    <x v="250"/>
    <s v="Amit"/>
    <x v="1"/>
    <x v="3"/>
    <x v="2"/>
    <s v="Male"/>
    <n v="9"/>
    <n v="611.79999999999995"/>
    <n v="817.45"/>
    <n v="5506.2"/>
    <n v="7357.05"/>
    <n v="1850.85"/>
  </r>
  <r>
    <x v="127"/>
    <s v="Rohit"/>
    <x v="1"/>
    <x v="1"/>
    <x v="0"/>
    <s v="Female"/>
    <n v="48"/>
    <n v="162.66999999999999"/>
    <n v="180.11"/>
    <n v="7808.16"/>
    <n v="8645.2800000000007"/>
    <n v="837.12"/>
  </r>
  <r>
    <x v="138"/>
    <s v="Pooja"/>
    <x v="0"/>
    <x v="9"/>
    <x v="3"/>
    <s v="Female"/>
    <n v="33"/>
    <n v="312.26"/>
    <n v="440.08"/>
    <n v="10304.58"/>
    <n v="14522.64"/>
    <n v="4218.0600000000004"/>
  </r>
  <r>
    <x v="213"/>
    <s v="Priya"/>
    <x v="3"/>
    <x v="5"/>
    <x v="5"/>
    <s v="Male"/>
    <n v="32"/>
    <n v="349.17"/>
    <n v="488.6"/>
    <n v="11173.44"/>
    <n v="15635.2"/>
    <n v="4461.76"/>
  </r>
  <r>
    <x v="75"/>
    <s v="Pooja"/>
    <x v="2"/>
    <x v="8"/>
    <x v="1"/>
    <s v="Male"/>
    <n v="28"/>
    <n v="509.77"/>
    <n v="757.29"/>
    <n v="14273.56"/>
    <n v="21204.12"/>
    <n v="6930.56"/>
  </r>
  <r>
    <x v="320"/>
    <s v="Amit"/>
    <x v="1"/>
    <x v="3"/>
    <x v="3"/>
    <s v="Female"/>
    <n v="30"/>
    <n v="548.41999999999996"/>
    <n v="689.5"/>
    <n v="16452.599999999999"/>
    <n v="20685"/>
    <n v="4232.3999999999996"/>
  </r>
  <r>
    <x v="243"/>
    <s v="Rohit"/>
    <x v="1"/>
    <x v="3"/>
    <x v="5"/>
    <s v="Male"/>
    <n v="38"/>
    <n v="65"/>
    <n v="84"/>
    <n v="2470"/>
    <n v="3192"/>
    <n v="722"/>
  </r>
  <r>
    <x v="77"/>
    <s v="Sneha"/>
    <x v="3"/>
    <x v="5"/>
    <x v="1"/>
    <s v="Female"/>
    <n v="33"/>
    <n v="484.97"/>
    <n v="695.53"/>
    <n v="16004.01"/>
    <n v="22952.49"/>
    <n v="6948.48"/>
  </r>
  <r>
    <x v="123"/>
    <s v="Priya"/>
    <x v="2"/>
    <x v="8"/>
    <x v="0"/>
    <s v="Male"/>
    <n v="47"/>
    <n v="896.51"/>
    <n v="1098"/>
    <n v="42135.97"/>
    <n v="51606"/>
    <n v="9470.0300000000007"/>
  </r>
  <r>
    <x v="106"/>
    <s v="Amit"/>
    <x v="2"/>
    <x v="4"/>
    <x v="1"/>
    <s v="Male"/>
    <n v="30"/>
    <n v="977.88"/>
    <n v="1177.5"/>
    <n v="29336.400000000001"/>
    <n v="35325"/>
    <n v="5988.6"/>
  </r>
  <r>
    <x v="254"/>
    <s v="Sneha"/>
    <x v="1"/>
    <x v="1"/>
    <x v="1"/>
    <s v="Male"/>
    <n v="8"/>
    <n v="872.72"/>
    <n v="1226.76"/>
    <n v="6981.76"/>
    <n v="9814.08"/>
    <n v="2832.32"/>
  </r>
  <r>
    <x v="0"/>
    <s v="Sneha"/>
    <x v="2"/>
    <x v="4"/>
    <x v="1"/>
    <s v="Male"/>
    <n v="14"/>
    <n v="821.91"/>
    <n v="1048.24"/>
    <n v="11506.74"/>
    <n v="14675.36"/>
    <n v="3168.62"/>
  </r>
  <r>
    <x v="251"/>
    <s v="Kiran"/>
    <x v="3"/>
    <x v="11"/>
    <x v="0"/>
    <s v="Male"/>
    <n v="22"/>
    <n v="262.33"/>
    <n v="296.48"/>
    <n v="5771.26"/>
    <n v="6522.56"/>
    <n v="751.3"/>
  </r>
  <r>
    <x v="49"/>
    <s v="Neha"/>
    <x v="2"/>
    <x v="8"/>
    <x v="5"/>
    <s v="Male"/>
    <n v="3"/>
    <n v="361.24"/>
    <n v="514.6"/>
    <n v="1083.72"/>
    <n v="1543.8"/>
    <n v="460.08"/>
  </r>
  <r>
    <x v="131"/>
    <s v="Rahul"/>
    <x v="2"/>
    <x v="8"/>
    <x v="3"/>
    <s v="Female"/>
    <n v="19"/>
    <n v="837.52"/>
    <n v="1139.02"/>
    <n v="15912.88"/>
    <n v="21641.38"/>
    <n v="5728.5"/>
  </r>
  <r>
    <x v="122"/>
    <s v="Pooja"/>
    <x v="2"/>
    <x v="4"/>
    <x v="4"/>
    <s v="Male"/>
    <n v="17"/>
    <n v="191.1"/>
    <n v="262.99"/>
    <n v="3248.7"/>
    <n v="4470.83"/>
    <n v="1222.1300000000001"/>
  </r>
  <r>
    <x v="296"/>
    <s v="Rahul"/>
    <x v="1"/>
    <x v="1"/>
    <x v="1"/>
    <s v="Male"/>
    <n v="37"/>
    <n v="223.55"/>
    <n v="259.58999999999997"/>
    <n v="8271.35"/>
    <n v="9604.83"/>
    <n v="1333.48"/>
  </r>
  <r>
    <x v="189"/>
    <s v="Rahul"/>
    <x v="0"/>
    <x v="0"/>
    <x v="4"/>
    <s v="Female"/>
    <n v="41"/>
    <n v="898.47"/>
    <n v="1177.56"/>
    <n v="36837.269999999997"/>
    <n v="48279.96"/>
    <n v="11442.69"/>
  </r>
  <r>
    <x v="170"/>
    <s v="Kiran"/>
    <x v="3"/>
    <x v="6"/>
    <x v="2"/>
    <s v="Female"/>
    <n v="6"/>
    <n v="58.08"/>
    <n v="76.260000000000005"/>
    <n v="348.48"/>
    <n v="457.56"/>
    <n v="109.08"/>
  </r>
  <r>
    <x v="128"/>
    <s v="Neha"/>
    <x v="3"/>
    <x v="11"/>
    <x v="1"/>
    <s v="Male"/>
    <n v="25"/>
    <n v="218.36"/>
    <n v="285.06"/>
    <n v="5459"/>
    <n v="7126.5"/>
    <n v="1667.5"/>
  </r>
  <r>
    <x v="45"/>
    <s v="Neha"/>
    <x v="1"/>
    <x v="2"/>
    <x v="2"/>
    <s v="Male"/>
    <n v="28"/>
    <n v="54.83"/>
    <n v="61.75"/>
    <n v="1535.24"/>
    <n v="1729"/>
    <n v="193.76"/>
  </r>
  <r>
    <x v="16"/>
    <s v="Rahul"/>
    <x v="2"/>
    <x v="7"/>
    <x v="5"/>
    <s v="Female"/>
    <n v="38"/>
    <n v="198.17"/>
    <n v="255.22"/>
    <n v="7530.46"/>
    <n v="9698.36"/>
    <n v="2167.9"/>
  </r>
  <r>
    <x v="126"/>
    <s v="Rahul"/>
    <x v="0"/>
    <x v="9"/>
    <x v="1"/>
    <s v="Female"/>
    <n v="1"/>
    <n v="527.61"/>
    <n v="644.02"/>
    <n v="527.61"/>
    <n v="644.02"/>
    <n v="116.41"/>
  </r>
  <r>
    <x v="81"/>
    <s v="Ankit"/>
    <x v="3"/>
    <x v="5"/>
    <x v="5"/>
    <s v="Male"/>
    <n v="38"/>
    <n v="351.55"/>
    <n v="453.3"/>
    <n v="13358.9"/>
    <n v="17225.400000000001"/>
    <n v="3866.5"/>
  </r>
  <r>
    <x v="41"/>
    <s v="Neha"/>
    <x v="1"/>
    <x v="1"/>
    <x v="3"/>
    <s v="Female"/>
    <n v="11"/>
    <n v="630.41"/>
    <n v="847.08"/>
    <n v="6934.51"/>
    <n v="9317.8799999999992"/>
    <n v="2383.37"/>
  </r>
  <r>
    <x v="229"/>
    <s v="Rohit"/>
    <x v="2"/>
    <x v="7"/>
    <x v="1"/>
    <s v="Male"/>
    <n v="6"/>
    <n v="190.79"/>
    <n v="267.48"/>
    <n v="1144.74"/>
    <n v="1604.88"/>
    <n v="460.14"/>
  </r>
  <r>
    <x v="302"/>
    <s v="Vikas"/>
    <x v="0"/>
    <x v="10"/>
    <x v="0"/>
    <s v="Female"/>
    <n v="26"/>
    <n v="329.37"/>
    <n v="390.12"/>
    <n v="8563.6200000000008"/>
    <n v="10143.120000000001"/>
    <n v="1579.5"/>
  </r>
  <r>
    <x v="38"/>
    <s v="Amit"/>
    <x v="0"/>
    <x v="9"/>
    <x v="4"/>
    <s v="Male"/>
    <n v="50"/>
    <n v="274.66000000000003"/>
    <n v="368.57"/>
    <n v="13733"/>
    <n v="18428.5"/>
    <n v="4695.5"/>
  </r>
  <r>
    <x v="211"/>
    <s v="Amit"/>
    <x v="0"/>
    <x v="0"/>
    <x v="5"/>
    <s v="Female"/>
    <n v="19"/>
    <n v="607.89"/>
    <n v="672.18"/>
    <n v="11549.91"/>
    <n v="12771.42"/>
    <n v="1221.51"/>
  </r>
  <r>
    <x v="255"/>
    <s v="Neha"/>
    <x v="1"/>
    <x v="1"/>
    <x v="4"/>
    <s v="Male"/>
    <n v="15"/>
    <n v="305.8"/>
    <n v="442.69"/>
    <n v="4587"/>
    <n v="6640.35"/>
    <n v="2053.35"/>
  </r>
  <r>
    <x v="188"/>
    <s v="Pooja"/>
    <x v="2"/>
    <x v="4"/>
    <x v="2"/>
    <s v="Female"/>
    <n v="25"/>
    <n v="614.57000000000005"/>
    <n v="686.47"/>
    <n v="15364.25"/>
    <n v="17161.75"/>
    <n v="1797.5"/>
  </r>
  <r>
    <x v="60"/>
    <s v="Rohit"/>
    <x v="0"/>
    <x v="0"/>
    <x v="5"/>
    <s v="Female"/>
    <n v="16"/>
    <n v="880.56"/>
    <n v="1302.52"/>
    <n v="14088.96"/>
    <n v="20840.32"/>
    <n v="6751.36"/>
  </r>
  <r>
    <x v="24"/>
    <s v="Neha"/>
    <x v="3"/>
    <x v="11"/>
    <x v="1"/>
    <s v="Male"/>
    <n v="39"/>
    <n v="276.64"/>
    <n v="401.93"/>
    <n v="10788.96"/>
    <n v="15675.27"/>
    <n v="4886.3100000000004"/>
  </r>
  <r>
    <x v="51"/>
    <s v="Amit"/>
    <x v="1"/>
    <x v="1"/>
    <x v="1"/>
    <s v="Female"/>
    <n v="15"/>
    <n v="106.57"/>
    <n v="144.63999999999999"/>
    <n v="1598.55"/>
    <n v="2169.6"/>
    <n v="571.04999999999995"/>
  </r>
  <r>
    <x v="259"/>
    <s v="Rahul"/>
    <x v="3"/>
    <x v="6"/>
    <x v="2"/>
    <s v="Female"/>
    <n v="36"/>
    <n v="704.68"/>
    <n v="993.13"/>
    <n v="25368.48"/>
    <n v="35752.68"/>
    <n v="10384.200000000001"/>
  </r>
  <r>
    <x v="39"/>
    <s v="Vikas"/>
    <x v="3"/>
    <x v="11"/>
    <x v="0"/>
    <s v="Male"/>
    <n v="46"/>
    <n v="578.35"/>
    <n v="837.57"/>
    <n v="26604.1"/>
    <n v="38528.22"/>
    <n v="11924.12"/>
  </r>
  <r>
    <x v="305"/>
    <s v="Vikas"/>
    <x v="3"/>
    <x v="11"/>
    <x v="2"/>
    <s v="Female"/>
    <n v="39"/>
    <n v="951.05"/>
    <n v="1083.1500000000001"/>
    <n v="37090.949999999997"/>
    <n v="42242.85"/>
    <n v="5151.8999999999996"/>
  </r>
  <r>
    <x v="137"/>
    <s v="Rohit"/>
    <x v="1"/>
    <x v="2"/>
    <x v="2"/>
    <s v="Female"/>
    <n v="26"/>
    <n v="931.56"/>
    <n v="1033.31"/>
    <n v="24220.560000000001"/>
    <n v="26866.06"/>
    <n v="2645.5"/>
  </r>
  <r>
    <x v="52"/>
    <s v="Amit"/>
    <x v="1"/>
    <x v="3"/>
    <x v="1"/>
    <s v="Male"/>
    <n v="38"/>
    <n v="683.95"/>
    <n v="785.83"/>
    <n v="25990.1"/>
    <n v="29861.54"/>
    <n v="3871.44"/>
  </r>
  <r>
    <x v="345"/>
    <s v="Pooja"/>
    <x v="1"/>
    <x v="2"/>
    <x v="3"/>
    <s v="Male"/>
    <n v="1"/>
    <n v="841.34"/>
    <n v="992.17"/>
    <n v="841.34"/>
    <n v="992.17"/>
    <n v="150.83000000000001"/>
  </r>
  <r>
    <x v="180"/>
    <s v="Ankit"/>
    <x v="1"/>
    <x v="3"/>
    <x v="1"/>
    <s v="Male"/>
    <n v="47"/>
    <n v="752.35"/>
    <n v="999.38"/>
    <n v="35360.449999999997"/>
    <n v="46970.86"/>
    <n v="11610.41"/>
  </r>
  <r>
    <x v="302"/>
    <s v="Neha"/>
    <x v="3"/>
    <x v="6"/>
    <x v="0"/>
    <s v="Female"/>
    <n v="32"/>
    <n v="899.05"/>
    <n v="1326.76"/>
    <n v="28769.599999999999"/>
    <n v="42456.32"/>
    <n v="13686.72"/>
  </r>
  <r>
    <x v="346"/>
    <s v="Ankit"/>
    <x v="2"/>
    <x v="8"/>
    <x v="2"/>
    <s v="Male"/>
    <n v="15"/>
    <n v="495.5"/>
    <n v="732.69"/>
    <n v="7432.5"/>
    <n v="10990.35"/>
    <n v="3557.85"/>
  </r>
  <r>
    <x v="100"/>
    <s v="Vikas"/>
    <x v="0"/>
    <x v="10"/>
    <x v="2"/>
    <s v="Male"/>
    <n v="38"/>
    <n v="813.85"/>
    <n v="1000.97"/>
    <n v="30926.3"/>
    <n v="38036.86"/>
    <n v="7110.56"/>
  </r>
  <r>
    <x v="223"/>
    <s v="Neha"/>
    <x v="2"/>
    <x v="4"/>
    <x v="3"/>
    <s v="Female"/>
    <n v="27"/>
    <n v="190.54"/>
    <n v="247.3"/>
    <n v="5144.58"/>
    <n v="6677.1"/>
    <n v="1532.52"/>
  </r>
  <r>
    <x v="59"/>
    <s v="Pooja"/>
    <x v="2"/>
    <x v="8"/>
    <x v="0"/>
    <s v="Female"/>
    <n v="31"/>
    <n v="504.86"/>
    <n v="734.96"/>
    <n v="15650.66"/>
    <n v="22783.759999999998"/>
    <n v="7133.1"/>
  </r>
  <r>
    <x v="167"/>
    <s v="Priya"/>
    <x v="2"/>
    <x v="8"/>
    <x v="3"/>
    <s v="Male"/>
    <n v="50"/>
    <n v="826.65"/>
    <n v="1150.75"/>
    <n v="41332.5"/>
    <n v="57537.5"/>
    <n v="16205"/>
  </r>
  <r>
    <x v="58"/>
    <s v="Amit"/>
    <x v="1"/>
    <x v="1"/>
    <x v="5"/>
    <s v="Male"/>
    <n v="18"/>
    <n v="602.76"/>
    <n v="721.63"/>
    <n v="10849.68"/>
    <n v="12989.34"/>
    <n v="2139.66"/>
  </r>
  <r>
    <x v="117"/>
    <s v="Neha"/>
    <x v="2"/>
    <x v="8"/>
    <x v="3"/>
    <s v="Male"/>
    <n v="37"/>
    <n v="201.02"/>
    <n v="250.38"/>
    <n v="7437.74"/>
    <n v="9264.06"/>
    <n v="1826.32"/>
  </r>
  <r>
    <x v="291"/>
    <s v="Amit"/>
    <x v="3"/>
    <x v="11"/>
    <x v="3"/>
    <s v="Female"/>
    <n v="1"/>
    <n v="194.04"/>
    <n v="243.01"/>
    <n v="194.04"/>
    <n v="243.01"/>
    <n v="48.97"/>
  </r>
  <r>
    <x v="148"/>
    <s v="Vikas"/>
    <x v="1"/>
    <x v="2"/>
    <x v="5"/>
    <s v="Male"/>
    <n v="27"/>
    <n v="360.09"/>
    <n v="460.34"/>
    <n v="9722.43"/>
    <n v="12429.18"/>
    <n v="2706.75"/>
  </r>
  <r>
    <x v="180"/>
    <s v="Neha"/>
    <x v="3"/>
    <x v="5"/>
    <x v="1"/>
    <s v="Female"/>
    <n v="14"/>
    <n v="161.16"/>
    <n v="205.21"/>
    <n v="2256.2399999999998"/>
    <n v="2872.94"/>
    <n v="616.70000000000005"/>
  </r>
  <r>
    <x v="347"/>
    <s v="Rohit"/>
    <x v="3"/>
    <x v="6"/>
    <x v="0"/>
    <s v="Male"/>
    <n v="2"/>
    <n v="239.95"/>
    <n v="279.38"/>
    <n v="479.9"/>
    <n v="558.76"/>
    <n v="78.86"/>
  </r>
  <r>
    <x v="42"/>
    <s v="Priya"/>
    <x v="1"/>
    <x v="1"/>
    <x v="5"/>
    <s v="Female"/>
    <n v="4"/>
    <n v="64.260000000000005"/>
    <n v="79.900000000000006"/>
    <n v="257.04000000000002"/>
    <n v="319.60000000000002"/>
    <n v="62.56"/>
  </r>
  <r>
    <x v="335"/>
    <s v="Amit"/>
    <x v="2"/>
    <x v="8"/>
    <x v="3"/>
    <s v="Male"/>
    <n v="13"/>
    <n v="870.17"/>
    <n v="1302.9100000000001"/>
    <n v="11312.21"/>
    <n v="16937.830000000002"/>
    <n v="5625.62"/>
  </r>
  <r>
    <x v="121"/>
    <s v="Kiran"/>
    <x v="2"/>
    <x v="7"/>
    <x v="0"/>
    <s v="Male"/>
    <n v="21"/>
    <n v="287.95"/>
    <n v="348.15"/>
    <n v="6046.95"/>
    <n v="7311.15"/>
    <n v="1264.2"/>
  </r>
  <r>
    <x v="193"/>
    <s v="Vikas"/>
    <x v="0"/>
    <x v="0"/>
    <x v="3"/>
    <s v="Female"/>
    <n v="15"/>
    <n v="815.83"/>
    <n v="961.3"/>
    <n v="12237.45"/>
    <n v="14419.5"/>
    <n v="2182.0500000000002"/>
  </r>
  <r>
    <x v="343"/>
    <s v="Ankit"/>
    <x v="0"/>
    <x v="10"/>
    <x v="2"/>
    <s v="Female"/>
    <n v="45"/>
    <n v="790.49"/>
    <n v="1062.0899999999999"/>
    <n v="35572.050000000003"/>
    <n v="47794.05"/>
    <n v="12222"/>
  </r>
  <r>
    <x v="11"/>
    <s v="Sneha"/>
    <x v="2"/>
    <x v="4"/>
    <x v="4"/>
    <s v="Male"/>
    <n v="35"/>
    <n v="143.04"/>
    <n v="174.45"/>
    <n v="5006.3999999999996"/>
    <n v="6105.75"/>
    <n v="1099.3499999999999"/>
  </r>
  <r>
    <x v="348"/>
    <s v="Neha"/>
    <x v="3"/>
    <x v="5"/>
    <x v="5"/>
    <s v="Male"/>
    <n v="22"/>
    <n v="205.33"/>
    <n v="249.24"/>
    <n v="4517.26"/>
    <n v="5483.28"/>
    <n v="966.02"/>
  </r>
  <r>
    <x v="76"/>
    <s v="Ankit"/>
    <x v="2"/>
    <x v="8"/>
    <x v="3"/>
    <s v="Female"/>
    <n v="40"/>
    <n v="403.98"/>
    <n v="521.28"/>
    <n v="16159.2"/>
    <n v="20851.2"/>
    <n v="4692"/>
  </r>
  <r>
    <x v="323"/>
    <s v="Pooja"/>
    <x v="1"/>
    <x v="2"/>
    <x v="3"/>
    <s v="Female"/>
    <n v="41"/>
    <n v="262.70999999999998"/>
    <n v="302.91000000000003"/>
    <n v="10771.11"/>
    <n v="12419.31"/>
    <n v="1648.2"/>
  </r>
  <r>
    <x v="97"/>
    <s v="Priya"/>
    <x v="1"/>
    <x v="1"/>
    <x v="1"/>
    <s v="Male"/>
    <n v="38"/>
    <n v="801.21"/>
    <n v="1035.29"/>
    <n v="30445.98"/>
    <n v="39341.019999999997"/>
    <n v="8895.0400000000009"/>
  </r>
  <r>
    <x v="53"/>
    <s v="Priya"/>
    <x v="3"/>
    <x v="11"/>
    <x v="4"/>
    <s v="Male"/>
    <n v="46"/>
    <n v="63.5"/>
    <n v="85.1"/>
    <n v="2921"/>
    <n v="3914.6"/>
    <n v="993.6"/>
  </r>
  <r>
    <x v="190"/>
    <s v="Vikas"/>
    <x v="2"/>
    <x v="4"/>
    <x v="2"/>
    <s v="Male"/>
    <n v="27"/>
    <n v="881.91"/>
    <n v="1123.4100000000001"/>
    <n v="23811.57"/>
    <n v="30332.07"/>
    <n v="6520.5"/>
  </r>
  <r>
    <x v="168"/>
    <s v="Vikas"/>
    <x v="3"/>
    <x v="5"/>
    <x v="2"/>
    <s v="Male"/>
    <n v="50"/>
    <n v="495.09"/>
    <n v="551.63"/>
    <n v="24754.5"/>
    <n v="27581.5"/>
    <n v="2827"/>
  </r>
  <r>
    <x v="323"/>
    <s v="Ankit"/>
    <x v="1"/>
    <x v="1"/>
    <x v="4"/>
    <s v="Female"/>
    <n v="50"/>
    <n v="470.97"/>
    <n v="698.22"/>
    <n v="23548.5"/>
    <n v="34911"/>
    <n v="11362.5"/>
  </r>
  <r>
    <x v="229"/>
    <s v="Ankit"/>
    <x v="1"/>
    <x v="2"/>
    <x v="3"/>
    <s v="Female"/>
    <n v="26"/>
    <n v="827.6"/>
    <n v="1202.3800000000001"/>
    <n v="21517.599999999999"/>
    <n v="31261.88"/>
    <n v="9744.2800000000007"/>
  </r>
  <r>
    <x v="11"/>
    <s v="Amit"/>
    <x v="0"/>
    <x v="0"/>
    <x v="0"/>
    <s v="Female"/>
    <n v="36"/>
    <n v="994.85"/>
    <n v="1165.27"/>
    <n v="35814.6"/>
    <n v="41949.72"/>
    <n v="6135.12"/>
  </r>
  <r>
    <x v="202"/>
    <s v="Kiran"/>
    <x v="0"/>
    <x v="9"/>
    <x v="3"/>
    <s v="Female"/>
    <n v="10"/>
    <n v="533.67999999999995"/>
    <n v="610.66999999999996"/>
    <n v="5336.8"/>
    <n v="6106.7"/>
    <n v="769.9"/>
  </r>
  <r>
    <x v="60"/>
    <s v="Kiran"/>
    <x v="3"/>
    <x v="11"/>
    <x v="3"/>
    <s v="Female"/>
    <n v="38"/>
    <n v="582.72"/>
    <n v="837.15"/>
    <n v="22143.360000000001"/>
    <n v="31811.7"/>
    <n v="9668.34"/>
  </r>
  <r>
    <x v="172"/>
    <s v="Vikas"/>
    <x v="3"/>
    <x v="5"/>
    <x v="1"/>
    <s v="Female"/>
    <n v="31"/>
    <n v="313.73"/>
    <n v="424.38"/>
    <n v="9725.6299999999992"/>
    <n v="13155.78"/>
    <n v="3430.15"/>
  </r>
  <r>
    <x v="14"/>
    <s v="Rohit"/>
    <x v="1"/>
    <x v="1"/>
    <x v="4"/>
    <s v="Female"/>
    <n v="37"/>
    <n v="664.58"/>
    <n v="871.24"/>
    <n v="24589.46"/>
    <n v="32235.88"/>
    <n v="7646.42"/>
  </r>
  <r>
    <x v="153"/>
    <s v="Priya"/>
    <x v="3"/>
    <x v="6"/>
    <x v="2"/>
    <s v="Female"/>
    <n v="25"/>
    <n v="678.78"/>
    <n v="886.75"/>
    <n v="16969.5"/>
    <n v="22168.75"/>
    <n v="5199.25"/>
  </r>
  <r>
    <x v="258"/>
    <s v="Rohit"/>
    <x v="3"/>
    <x v="5"/>
    <x v="0"/>
    <s v="Female"/>
    <n v="33"/>
    <n v="261.02999999999997"/>
    <n v="291.73"/>
    <n v="8613.99"/>
    <n v="9627.09"/>
    <n v="1013.1"/>
  </r>
  <r>
    <x v="244"/>
    <s v="Neha"/>
    <x v="3"/>
    <x v="6"/>
    <x v="1"/>
    <s v="Female"/>
    <n v="4"/>
    <n v="276.66000000000003"/>
    <n v="362.16"/>
    <n v="1106.6400000000001"/>
    <n v="1448.64"/>
    <n v="342"/>
  </r>
  <r>
    <x v="175"/>
    <s v="Rohit"/>
    <x v="0"/>
    <x v="9"/>
    <x v="3"/>
    <s v="Male"/>
    <n v="7"/>
    <n v="399.65"/>
    <n v="544.66999999999996"/>
    <n v="2797.55"/>
    <n v="3812.69"/>
    <n v="1015.14"/>
  </r>
  <r>
    <x v="145"/>
    <s v="Priya"/>
    <x v="3"/>
    <x v="11"/>
    <x v="5"/>
    <s v="Female"/>
    <n v="7"/>
    <n v="868.47"/>
    <n v="1156.5999999999999"/>
    <n v="6079.29"/>
    <n v="8096.2"/>
    <n v="2016.91"/>
  </r>
  <r>
    <x v="105"/>
    <s v="Sneha"/>
    <x v="0"/>
    <x v="0"/>
    <x v="5"/>
    <s v="Male"/>
    <n v="17"/>
    <n v="111.76"/>
    <n v="124.83"/>
    <n v="1899.92"/>
    <n v="2122.11"/>
    <n v="222.19"/>
  </r>
  <r>
    <x v="86"/>
    <s v="Vikas"/>
    <x v="2"/>
    <x v="8"/>
    <x v="1"/>
    <s v="Male"/>
    <n v="43"/>
    <n v="785.92"/>
    <n v="1131.8800000000001"/>
    <n v="33794.559999999998"/>
    <n v="48670.84"/>
    <n v="14876.28"/>
  </r>
  <r>
    <x v="138"/>
    <s v="Vikas"/>
    <x v="2"/>
    <x v="8"/>
    <x v="1"/>
    <s v="Male"/>
    <n v="46"/>
    <n v="626.87"/>
    <n v="717.92"/>
    <n v="28836.02"/>
    <n v="33024.32"/>
    <n v="4188.3"/>
  </r>
  <r>
    <x v="75"/>
    <s v="Amit"/>
    <x v="1"/>
    <x v="1"/>
    <x v="3"/>
    <s v="Male"/>
    <n v="6"/>
    <n v="105.7"/>
    <n v="155.11000000000001"/>
    <n v="634.20000000000005"/>
    <n v="930.66"/>
    <n v="296.45999999999998"/>
  </r>
  <r>
    <x v="157"/>
    <s v="Neha"/>
    <x v="3"/>
    <x v="11"/>
    <x v="1"/>
    <s v="Male"/>
    <n v="21"/>
    <n v="996.06"/>
    <n v="1343.77"/>
    <n v="20917.259999999998"/>
    <n v="28219.17"/>
    <n v="7301.91"/>
  </r>
  <r>
    <x v="255"/>
    <s v="Rohit"/>
    <x v="1"/>
    <x v="1"/>
    <x v="3"/>
    <s v="Female"/>
    <n v="5"/>
    <n v="919.52"/>
    <n v="1193.32"/>
    <n v="4597.6000000000004"/>
    <n v="5966.6"/>
    <n v="1369"/>
  </r>
  <r>
    <x v="130"/>
    <s v="Neha"/>
    <x v="3"/>
    <x v="5"/>
    <x v="1"/>
    <s v="Female"/>
    <n v="16"/>
    <n v="946.08"/>
    <n v="1171.97"/>
    <n v="15137.28"/>
    <n v="18751.52"/>
    <n v="3614.24"/>
  </r>
  <r>
    <x v="162"/>
    <s v="Amit"/>
    <x v="1"/>
    <x v="1"/>
    <x v="3"/>
    <s v="Female"/>
    <n v="48"/>
    <n v="879.6"/>
    <n v="1310.57"/>
    <n v="42220.800000000003"/>
    <n v="62907.360000000001"/>
    <n v="20686.560000000001"/>
  </r>
  <r>
    <x v="255"/>
    <s v="Priya"/>
    <x v="3"/>
    <x v="11"/>
    <x v="3"/>
    <s v="Female"/>
    <n v="31"/>
    <n v="575.51"/>
    <n v="815.97"/>
    <n v="17840.810000000001"/>
    <n v="25295.07"/>
    <n v="7454.26"/>
  </r>
  <r>
    <x v="69"/>
    <s v="Rahul"/>
    <x v="2"/>
    <x v="4"/>
    <x v="1"/>
    <s v="Male"/>
    <n v="20"/>
    <n v="491.18"/>
    <n v="564.12"/>
    <n v="9823.6"/>
    <n v="11282.4"/>
    <n v="1458.8"/>
  </r>
  <r>
    <x v="3"/>
    <s v="Amit"/>
    <x v="0"/>
    <x v="10"/>
    <x v="4"/>
    <s v="Male"/>
    <n v="3"/>
    <n v="250.78"/>
    <n v="294.3"/>
    <n v="752.34"/>
    <n v="882.9"/>
    <n v="130.56"/>
  </r>
  <r>
    <x v="85"/>
    <s v="Priya"/>
    <x v="3"/>
    <x v="6"/>
    <x v="2"/>
    <s v="Male"/>
    <n v="32"/>
    <n v="828.31"/>
    <n v="1045.82"/>
    <n v="26505.919999999998"/>
    <n v="33466.239999999998"/>
    <n v="6960.32"/>
  </r>
  <r>
    <x v="251"/>
    <s v="Vikas"/>
    <x v="0"/>
    <x v="10"/>
    <x v="5"/>
    <s v="Male"/>
    <n v="10"/>
    <n v="825.16"/>
    <n v="952.03"/>
    <n v="8251.6"/>
    <n v="9520.2999999999993"/>
    <n v="1268.7"/>
  </r>
  <r>
    <x v="17"/>
    <s v="Sneha"/>
    <x v="2"/>
    <x v="4"/>
    <x v="4"/>
    <s v="Male"/>
    <n v="7"/>
    <n v="714.68"/>
    <n v="867.59"/>
    <n v="5002.76"/>
    <n v="6073.13"/>
    <n v="1070.3699999999999"/>
  </r>
  <r>
    <x v="30"/>
    <s v="Neha"/>
    <x v="0"/>
    <x v="10"/>
    <x v="1"/>
    <s v="Female"/>
    <n v="42"/>
    <n v="613.30999999999995"/>
    <n v="740.55"/>
    <n v="25759.02"/>
    <n v="31103.1"/>
    <n v="5344.08"/>
  </r>
  <r>
    <x v="284"/>
    <s v="Pooja"/>
    <x v="1"/>
    <x v="1"/>
    <x v="0"/>
    <s v="Female"/>
    <n v="9"/>
    <n v="799.4"/>
    <n v="1082.94"/>
    <n v="7194.6"/>
    <n v="9746.4599999999991"/>
    <n v="2551.86"/>
  </r>
  <r>
    <x v="7"/>
    <s v="Amit"/>
    <x v="1"/>
    <x v="3"/>
    <x v="4"/>
    <s v="Male"/>
    <n v="18"/>
    <n v="802.8"/>
    <n v="959.42"/>
    <n v="14450.4"/>
    <n v="17269.560000000001"/>
    <n v="2819.16"/>
  </r>
  <r>
    <x v="88"/>
    <s v="Amit"/>
    <x v="3"/>
    <x v="11"/>
    <x v="2"/>
    <s v="Male"/>
    <n v="2"/>
    <n v="806.22"/>
    <n v="1131.0899999999999"/>
    <n v="1612.44"/>
    <n v="2262.1799999999998"/>
    <n v="649.74"/>
  </r>
  <r>
    <x v="346"/>
    <s v="Kiran"/>
    <x v="3"/>
    <x v="6"/>
    <x v="5"/>
    <s v="Male"/>
    <n v="36"/>
    <n v="410.43"/>
    <n v="559.38"/>
    <n v="14775.48"/>
    <n v="20137.68"/>
    <n v="5362.2"/>
  </r>
  <r>
    <x v="349"/>
    <s v="Rahul"/>
    <x v="1"/>
    <x v="3"/>
    <x v="2"/>
    <s v="Female"/>
    <n v="47"/>
    <n v="356.63"/>
    <n v="423.36"/>
    <n v="16761.61"/>
    <n v="19897.919999999998"/>
    <n v="3136.31"/>
  </r>
  <r>
    <x v="29"/>
    <s v="Amit"/>
    <x v="1"/>
    <x v="1"/>
    <x v="1"/>
    <s v="Male"/>
    <n v="40"/>
    <n v="486.66"/>
    <n v="719.29"/>
    <n v="19466.400000000001"/>
    <n v="28771.599999999999"/>
    <n v="9305.2000000000007"/>
  </r>
  <r>
    <x v="274"/>
    <s v="Ankit"/>
    <x v="2"/>
    <x v="8"/>
    <x v="2"/>
    <s v="Female"/>
    <n v="45"/>
    <n v="831.34"/>
    <n v="1045.1600000000001"/>
    <n v="37410.300000000003"/>
    <n v="47032.2"/>
    <n v="9621.9"/>
  </r>
  <r>
    <x v="307"/>
    <s v="Amit"/>
    <x v="0"/>
    <x v="0"/>
    <x v="4"/>
    <s v="Female"/>
    <n v="22"/>
    <n v="443.19"/>
    <n v="610.41999999999996"/>
    <n v="9750.18"/>
    <n v="13429.24"/>
    <n v="3679.06"/>
  </r>
  <r>
    <x v="212"/>
    <s v="Rohit"/>
    <x v="0"/>
    <x v="10"/>
    <x v="3"/>
    <s v="Female"/>
    <n v="20"/>
    <n v="256.02999999999997"/>
    <n v="363.64"/>
    <n v="5120.6000000000004"/>
    <n v="7272.8"/>
    <n v="2152.1999999999998"/>
  </r>
  <r>
    <x v="174"/>
    <s v="Rahul"/>
    <x v="1"/>
    <x v="3"/>
    <x v="2"/>
    <s v="Female"/>
    <n v="23"/>
    <n v="523.64"/>
    <n v="682.01"/>
    <n v="12043.72"/>
    <n v="15686.23"/>
    <n v="3642.51"/>
  </r>
  <r>
    <x v="170"/>
    <s v="Neha"/>
    <x v="0"/>
    <x v="10"/>
    <x v="3"/>
    <s v="Male"/>
    <n v="24"/>
    <n v="347.79"/>
    <n v="485.4"/>
    <n v="8346.9599999999991"/>
    <n v="11649.6"/>
    <n v="3302.64"/>
  </r>
  <r>
    <x v="30"/>
    <s v="Vikas"/>
    <x v="1"/>
    <x v="3"/>
    <x v="1"/>
    <s v="Female"/>
    <n v="34"/>
    <n v="675.79"/>
    <n v="1006.11"/>
    <n v="22976.86"/>
    <n v="34207.74"/>
    <n v="11230.88"/>
  </r>
  <r>
    <x v="41"/>
    <s v="Neha"/>
    <x v="2"/>
    <x v="7"/>
    <x v="5"/>
    <s v="Female"/>
    <n v="20"/>
    <n v="944.74"/>
    <n v="1415.36"/>
    <n v="18894.8"/>
    <n v="28307.200000000001"/>
    <n v="9412.4"/>
  </r>
  <r>
    <x v="101"/>
    <s v="Kiran"/>
    <x v="1"/>
    <x v="3"/>
    <x v="1"/>
    <s v="Male"/>
    <n v="34"/>
    <n v="214.25"/>
    <n v="243.4"/>
    <n v="7284.5"/>
    <n v="8275.6"/>
    <n v="991.1"/>
  </r>
  <r>
    <x v="97"/>
    <s v="Neha"/>
    <x v="1"/>
    <x v="1"/>
    <x v="1"/>
    <s v="Male"/>
    <n v="43"/>
    <n v="409.65"/>
    <n v="580.05999999999995"/>
    <n v="17614.95"/>
    <n v="24942.58"/>
    <n v="7327.63"/>
  </r>
  <r>
    <x v="256"/>
    <s v="Priya"/>
    <x v="3"/>
    <x v="11"/>
    <x v="0"/>
    <s v="Female"/>
    <n v="42"/>
    <n v="509.2"/>
    <n v="701.91"/>
    <n v="21386.400000000001"/>
    <n v="29480.22"/>
    <n v="8093.82"/>
  </r>
  <r>
    <x v="15"/>
    <s v="Sneha"/>
    <x v="3"/>
    <x v="11"/>
    <x v="2"/>
    <s v="Male"/>
    <n v="14"/>
    <n v="167.45"/>
    <n v="237.77"/>
    <n v="2344.3000000000002"/>
    <n v="3328.78"/>
    <n v="984.48"/>
  </r>
  <r>
    <x v="91"/>
    <s v="Priya"/>
    <x v="2"/>
    <x v="4"/>
    <x v="2"/>
    <s v="Female"/>
    <n v="10"/>
    <n v="496.03"/>
    <n v="583.23"/>
    <n v="4960.3"/>
    <n v="5832.3"/>
    <n v="872"/>
  </r>
  <r>
    <x v="289"/>
    <s v="Ankit"/>
    <x v="3"/>
    <x v="11"/>
    <x v="4"/>
    <s v="Female"/>
    <n v="18"/>
    <n v="170.61"/>
    <n v="205.89"/>
    <n v="3070.98"/>
    <n v="3706.02"/>
    <n v="635.04"/>
  </r>
  <r>
    <x v="10"/>
    <s v="Rahul"/>
    <x v="1"/>
    <x v="1"/>
    <x v="4"/>
    <s v="Female"/>
    <n v="17"/>
    <n v="755.54"/>
    <n v="835.81"/>
    <n v="12844.18"/>
    <n v="14208.77"/>
    <n v="1364.59"/>
  </r>
  <r>
    <x v="60"/>
    <s v="Neha"/>
    <x v="1"/>
    <x v="3"/>
    <x v="3"/>
    <s v="Female"/>
    <n v="40"/>
    <n v="464.6"/>
    <n v="583.84"/>
    <n v="18584"/>
    <n v="23353.599999999999"/>
    <n v="4769.6000000000004"/>
  </r>
  <r>
    <x v="298"/>
    <s v="Amit"/>
    <x v="1"/>
    <x v="2"/>
    <x v="4"/>
    <s v="Male"/>
    <n v="13"/>
    <n v="696.84"/>
    <n v="981.18"/>
    <n v="9058.92"/>
    <n v="12755.34"/>
    <n v="3696.42"/>
  </r>
  <r>
    <x v="51"/>
    <s v="Rahul"/>
    <x v="1"/>
    <x v="1"/>
    <x v="5"/>
    <s v="Male"/>
    <n v="41"/>
    <n v="939.44"/>
    <n v="1230.49"/>
    <n v="38517.040000000001"/>
    <n v="50450.09"/>
    <n v="11933.05"/>
  </r>
  <r>
    <x v="110"/>
    <s v="Priya"/>
    <x v="0"/>
    <x v="10"/>
    <x v="5"/>
    <s v="Male"/>
    <n v="42"/>
    <n v="978.88"/>
    <n v="1404.64"/>
    <n v="41112.959999999999"/>
    <n v="58994.879999999997"/>
    <n v="17881.919999999998"/>
  </r>
  <r>
    <x v="311"/>
    <s v="Pooja"/>
    <x v="2"/>
    <x v="7"/>
    <x v="1"/>
    <s v="Male"/>
    <n v="6"/>
    <n v="453.47"/>
    <n v="617.09"/>
    <n v="2720.82"/>
    <n v="3702.54"/>
    <n v="981.72"/>
  </r>
  <r>
    <x v="350"/>
    <s v="Amit"/>
    <x v="2"/>
    <x v="4"/>
    <x v="0"/>
    <s v="Female"/>
    <n v="22"/>
    <n v="938.11"/>
    <n v="1390.9"/>
    <n v="20638.419999999998"/>
    <n v="30599.8"/>
    <n v="9961.3799999999992"/>
  </r>
  <r>
    <x v="65"/>
    <s v="Priya"/>
    <x v="0"/>
    <x v="9"/>
    <x v="1"/>
    <s v="Female"/>
    <n v="15"/>
    <n v="148.79"/>
    <n v="179.67"/>
    <n v="2231.85"/>
    <n v="2695.05"/>
    <n v="463.2"/>
  </r>
  <r>
    <x v="249"/>
    <s v="Amit"/>
    <x v="3"/>
    <x v="5"/>
    <x v="2"/>
    <s v="Male"/>
    <n v="8"/>
    <n v="945.51"/>
    <n v="1127.99"/>
    <n v="7564.08"/>
    <n v="9023.92"/>
    <n v="1459.84"/>
  </r>
  <r>
    <x v="10"/>
    <s v="Kiran"/>
    <x v="0"/>
    <x v="9"/>
    <x v="5"/>
    <s v="Female"/>
    <n v="7"/>
    <n v="441.67"/>
    <n v="618.16999999999996"/>
    <n v="3091.69"/>
    <n v="4327.1899999999996"/>
    <n v="1235.5"/>
  </r>
  <r>
    <x v="101"/>
    <s v="Sneha"/>
    <x v="3"/>
    <x v="11"/>
    <x v="5"/>
    <s v="Male"/>
    <n v="22"/>
    <n v="429.66"/>
    <n v="500.67"/>
    <n v="9452.52"/>
    <n v="11014.74"/>
    <n v="1562.22"/>
  </r>
  <r>
    <x v="165"/>
    <s v="Kiran"/>
    <x v="1"/>
    <x v="2"/>
    <x v="0"/>
    <s v="Female"/>
    <n v="5"/>
    <n v="688.47"/>
    <n v="840.73"/>
    <n v="3442.35"/>
    <n v="4203.6499999999996"/>
    <n v="761.3"/>
  </r>
  <r>
    <x v="151"/>
    <s v="Kiran"/>
    <x v="1"/>
    <x v="3"/>
    <x v="4"/>
    <s v="Male"/>
    <n v="27"/>
    <n v="953.38"/>
    <n v="1362.88"/>
    <n v="25741.26"/>
    <n v="36797.760000000002"/>
    <n v="11056.5"/>
  </r>
  <r>
    <x v="147"/>
    <s v="Kiran"/>
    <x v="3"/>
    <x v="5"/>
    <x v="4"/>
    <s v="Male"/>
    <n v="15"/>
    <n v="855.77"/>
    <n v="1073.51"/>
    <n v="12836.55"/>
    <n v="16102.65"/>
    <n v="3266.1"/>
  </r>
  <r>
    <x v="127"/>
    <s v="Kiran"/>
    <x v="2"/>
    <x v="4"/>
    <x v="3"/>
    <s v="Female"/>
    <n v="46"/>
    <n v="334.76"/>
    <n v="442.36"/>
    <n v="15398.96"/>
    <n v="20348.560000000001"/>
    <n v="4949.6000000000004"/>
  </r>
  <r>
    <x v="34"/>
    <s v="Pooja"/>
    <x v="1"/>
    <x v="3"/>
    <x v="0"/>
    <s v="Male"/>
    <n v="28"/>
    <n v="877.11"/>
    <n v="1288.81"/>
    <n v="24559.08"/>
    <n v="36086.68"/>
    <n v="11527.6"/>
  </r>
  <r>
    <x v="46"/>
    <s v="Vikas"/>
    <x v="1"/>
    <x v="2"/>
    <x v="5"/>
    <s v="Male"/>
    <n v="15"/>
    <n v="787.33"/>
    <n v="964.84"/>
    <n v="11809.95"/>
    <n v="14472.6"/>
    <n v="2662.65"/>
  </r>
  <r>
    <x v="176"/>
    <s v="Pooja"/>
    <x v="0"/>
    <x v="9"/>
    <x v="3"/>
    <s v="Female"/>
    <n v="29"/>
    <n v="159.44"/>
    <n v="222.96"/>
    <n v="4623.76"/>
    <n v="6465.84"/>
    <n v="1842.08"/>
  </r>
  <r>
    <x v="344"/>
    <s v="Neha"/>
    <x v="0"/>
    <x v="0"/>
    <x v="0"/>
    <s v="Female"/>
    <n v="15"/>
    <n v="980.88"/>
    <n v="1370.46"/>
    <n v="14713.2"/>
    <n v="20556.900000000001"/>
    <n v="5843.7"/>
  </r>
  <r>
    <x v="29"/>
    <s v="Vikas"/>
    <x v="1"/>
    <x v="3"/>
    <x v="4"/>
    <s v="Male"/>
    <n v="25"/>
    <n v="443.41"/>
    <n v="567.1"/>
    <n v="11085.25"/>
    <n v="14177.5"/>
    <n v="3092.25"/>
  </r>
  <r>
    <x v="106"/>
    <s v="Rahul"/>
    <x v="3"/>
    <x v="5"/>
    <x v="0"/>
    <s v="Female"/>
    <n v="6"/>
    <n v="736.01"/>
    <n v="925.35"/>
    <n v="4416.0600000000004"/>
    <n v="5552.1"/>
    <n v="1136.04"/>
  </r>
  <r>
    <x v="211"/>
    <s v="Sneha"/>
    <x v="2"/>
    <x v="8"/>
    <x v="0"/>
    <s v="Female"/>
    <n v="12"/>
    <n v="440.31"/>
    <n v="586.16999999999996"/>
    <n v="5283.72"/>
    <n v="7034.04"/>
    <n v="1750.32"/>
  </r>
  <r>
    <x v="208"/>
    <s v="Ankit"/>
    <x v="0"/>
    <x v="0"/>
    <x v="5"/>
    <s v="Female"/>
    <n v="12"/>
    <n v="275.98"/>
    <n v="339.79"/>
    <n v="3311.76"/>
    <n v="4077.48"/>
    <n v="765.72"/>
  </r>
  <r>
    <x v="188"/>
    <s v="Sneha"/>
    <x v="0"/>
    <x v="9"/>
    <x v="4"/>
    <s v="Male"/>
    <n v="30"/>
    <n v="52.08"/>
    <n v="63.79"/>
    <n v="1562.4"/>
    <n v="1913.7"/>
    <n v="351.3"/>
  </r>
  <r>
    <x v="212"/>
    <s v="Amit"/>
    <x v="2"/>
    <x v="8"/>
    <x v="2"/>
    <s v="Male"/>
    <n v="39"/>
    <n v="311.3"/>
    <n v="346.67"/>
    <n v="12140.7"/>
    <n v="13520.13"/>
    <n v="1379.43"/>
  </r>
  <r>
    <x v="331"/>
    <s v="Rohit"/>
    <x v="3"/>
    <x v="11"/>
    <x v="1"/>
    <s v="Male"/>
    <n v="41"/>
    <n v="356.55"/>
    <n v="408.15"/>
    <n v="14618.55"/>
    <n v="16734.150000000001"/>
    <n v="2115.6"/>
  </r>
  <r>
    <x v="349"/>
    <s v="Rohit"/>
    <x v="2"/>
    <x v="7"/>
    <x v="5"/>
    <s v="Female"/>
    <n v="15"/>
    <n v="793"/>
    <n v="929.38"/>
    <n v="11895"/>
    <n v="13940.7"/>
    <n v="2045.7"/>
  </r>
  <r>
    <x v="321"/>
    <s v="Sneha"/>
    <x v="2"/>
    <x v="7"/>
    <x v="4"/>
    <s v="Male"/>
    <n v="26"/>
    <n v="905.81"/>
    <n v="1284.3399999999999"/>
    <n v="23551.06"/>
    <n v="33392.839999999997"/>
    <n v="9841.7800000000007"/>
  </r>
  <r>
    <x v="234"/>
    <s v="Neha"/>
    <x v="0"/>
    <x v="10"/>
    <x v="5"/>
    <s v="Female"/>
    <n v="18"/>
    <n v="660.1"/>
    <n v="835.79"/>
    <n v="11881.8"/>
    <n v="15044.22"/>
    <n v="3162.42"/>
  </r>
  <r>
    <x v="174"/>
    <s v="Priya"/>
    <x v="0"/>
    <x v="9"/>
    <x v="1"/>
    <s v="Female"/>
    <n v="5"/>
    <n v="496.18"/>
    <n v="709.31"/>
    <n v="2480.9"/>
    <n v="3546.55"/>
    <n v="1065.6500000000001"/>
  </r>
  <r>
    <x v="105"/>
    <s v="Neha"/>
    <x v="0"/>
    <x v="10"/>
    <x v="1"/>
    <s v="Female"/>
    <n v="32"/>
    <n v="819.25"/>
    <n v="1141.3800000000001"/>
    <n v="26216"/>
    <n v="36524.160000000003"/>
    <n v="10308.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643C9-EDF1-4FA3-9953-A833B94F8D15}" name="statesale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15:AH22" firstHeaderRow="1" firstDataRow="1" firstDataCol="1"/>
  <pivotFields count="14">
    <pivotField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showAll="0">
      <items count="5">
        <item x="3"/>
        <item x="2"/>
        <item x="0"/>
        <item x="1"/>
        <item t="default"/>
      </items>
    </pivotField>
    <pivotField showAll="0">
      <items count="13">
        <item x="0"/>
        <item x="5"/>
        <item x="11"/>
        <item x="4"/>
        <item x="7"/>
        <item x="1"/>
        <item x="2"/>
        <item x="6"/>
        <item x="10"/>
        <item x="3"/>
        <item x="9"/>
        <item x="8"/>
        <item t="default"/>
      </items>
    </pivotField>
    <pivotField axis="axisRow" showAll="0">
      <items count="7">
        <item x="4"/>
        <item x="0"/>
        <item x="1"/>
        <item x="3"/>
        <item x="5"/>
        <item x="2"/>
        <item t="default"/>
      </items>
    </pivotField>
    <pivotField showAll="0"/>
    <pivotField numFmtId="1" showAll="0"/>
    <pivotField numFmtId="1" showAll="0"/>
    <pivotField numFmtId="1" showAll="0"/>
    <pivotField numFmtId="1" showAll="0"/>
    <pivotField dataField="1" numFmtId="1"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Sales"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6310B7-E94B-4FE7-BCBC-7A6A35F004EB}" name="productwise "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3:Z26" firstHeaderRow="0" firstDataRow="1" firstDataCol="1"/>
  <pivotFields count="14">
    <pivotField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showAll="0">
      <items count="5">
        <item x="3"/>
        <item x="2"/>
        <item x="0"/>
        <item x="1"/>
        <item t="default"/>
      </items>
    </pivotField>
    <pivotField axis="axisRow" showAll="0">
      <items count="13">
        <item x="0"/>
        <item x="5"/>
        <item x="11"/>
        <item x="4"/>
        <item x="7"/>
        <item x="1"/>
        <item x="2"/>
        <item x="6"/>
        <item x="10"/>
        <item x="3"/>
        <item x="9"/>
        <item x="8"/>
        <item t="default"/>
      </items>
    </pivotField>
    <pivotField showAll="0"/>
    <pivotField showAll="0"/>
    <pivotField numFmtId="1" showAll="0"/>
    <pivotField numFmtId="1" showAll="0"/>
    <pivotField numFmtId="1" showAll="0"/>
    <pivotField numFmtId="1" showAll="0"/>
    <pivotField dataField="1" numFmtId="1" showAll="0"/>
    <pivotField dataField="1"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1" showDataAs="percentOfTotal" baseField="0" baseItem="0" numFmtId="10"/>
    <dataField name="Sum of Sales"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BFCC3-BCE4-4664-9CB3-6CA7DDCCEFDC}" name="monthwis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3:R26" firstHeaderRow="0" firstDataRow="1" firstDataCol="1"/>
  <pivotFields count="14">
    <pivotField axis="axisRow"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showAll="0">
      <items count="5">
        <item x="3"/>
        <item x="2"/>
        <item x="0"/>
        <item x="1"/>
        <item t="default"/>
      </items>
    </pivotField>
    <pivotField showAll="0"/>
    <pivotField showAll="0"/>
    <pivotField showAll="0"/>
    <pivotField numFmtId="1" showAll="0"/>
    <pivotField numFmtId="1" showAll="0"/>
    <pivotField numFmtId="1" showAll="0"/>
    <pivotField numFmtId="1" showAll="0"/>
    <pivotField dataField="1" numFmtId="1" showAll="0"/>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1" showDataAs="percentOfTotal" baseField="0" baseItem="0" numFmtId="10"/>
    <dataField name="Sum of Sales" fld="10" baseField="0" baseItem="0" numFmtId="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69135-9073-4D64-B786-600872F55C0E}" name="totalpurchas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3:F18" firstHeaderRow="1" firstDataRow="1" firstDataCol="1"/>
  <pivotFields count="14">
    <pivotField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dataField="1" numFmtId="1" showAll="0"/>
    <pivotField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urchase Cost" fld="9" baseField="0" baseItem="0" numFmtId="1"/>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2" count="1" selected="0">
            <x v="0"/>
          </reference>
        </references>
      </pivotArea>
    </chartFormat>
    <chartFormat chart="19" format="9">
      <pivotArea type="data" outline="0" fieldPosition="0">
        <references count="2">
          <reference field="4294967294" count="1" selected="0">
            <x v="0"/>
          </reference>
          <reference field="2" count="1" selected="0">
            <x v="1"/>
          </reference>
        </references>
      </pivotArea>
    </chartFormat>
    <chartFormat chart="19" format="10">
      <pivotArea type="data" outline="0" fieldPosition="0">
        <references count="2">
          <reference field="4294967294" count="1" selected="0">
            <x v="0"/>
          </reference>
          <reference field="2" count="1" selected="0">
            <x v="2"/>
          </reference>
        </references>
      </pivotArea>
    </chartFormat>
    <chartFormat chart="19" format="1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C8E7D-9338-418A-A9F7-17A02E820D4A}" name="totalprofi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3:K18" firstHeaderRow="1" firstDataRow="1" firstDataCol="1"/>
  <pivotFields count="14">
    <pivotField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numFmtI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11" baseField="0" baseItem="0" numFmtId="1"/>
  </dataFields>
  <chartFormats count="6">
    <chartFormat chart="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 chart="17" format="9">
      <pivotArea type="data" outline="0" fieldPosition="0">
        <references count="2">
          <reference field="4294967294" count="1" selected="0">
            <x v="0"/>
          </reference>
          <reference field="2" count="1" selected="0">
            <x v="2"/>
          </reference>
        </references>
      </pivotArea>
    </chartFormat>
    <chartFormat chart="1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5CFDC4-C0EE-4ACD-BD25-B74DF03B268C}" name="totalsale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18" firstHeaderRow="1" firstDataRow="1" firstDataCol="1"/>
  <pivotFields count="14">
    <pivotField numFmtId="166" showAll="0">
      <items count="352">
        <item x="317"/>
        <item x="222"/>
        <item x="201"/>
        <item x="60"/>
        <item x="36"/>
        <item x="78"/>
        <item x="314"/>
        <item x="214"/>
        <item x="1"/>
        <item x="342"/>
        <item x="158"/>
        <item x="204"/>
        <item x="190"/>
        <item x="69"/>
        <item x="246"/>
        <item x="2"/>
        <item x="86"/>
        <item x="101"/>
        <item x="270"/>
        <item x="278"/>
        <item x="255"/>
        <item x="198"/>
        <item x="276"/>
        <item x="44"/>
        <item x="102"/>
        <item x="323"/>
        <item x="42"/>
        <item x="243"/>
        <item x="235"/>
        <item x="253"/>
        <item x="330"/>
        <item x="81"/>
        <item x="155"/>
        <item x="241"/>
        <item x="218"/>
        <item x="304"/>
        <item x="328"/>
        <item x="244"/>
        <item x="238"/>
        <item x="24"/>
        <item x="197"/>
        <item x="316"/>
        <item x="298"/>
        <item x="344"/>
        <item x="52"/>
        <item x="252"/>
        <item x="103"/>
        <item x="349"/>
        <item x="20"/>
        <item x="153"/>
        <item x="285"/>
        <item x="141"/>
        <item x="18"/>
        <item x="334"/>
        <item x="292"/>
        <item x="230"/>
        <item x="319"/>
        <item x="335"/>
        <item x="193"/>
        <item x="343"/>
        <item x="191"/>
        <item x="299"/>
        <item x="109"/>
        <item x="53"/>
        <item x="254"/>
        <item x="350"/>
        <item x="21"/>
        <item x="152"/>
        <item x="212"/>
        <item x="228"/>
        <item x="224"/>
        <item x="339"/>
        <item x="56"/>
        <item x="82"/>
        <item x="107"/>
        <item x="98"/>
        <item x="163"/>
        <item x="127"/>
        <item x="130"/>
        <item x="320"/>
        <item x="95"/>
        <item x="219"/>
        <item x="50"/>
        <item x="223"/>
        <item x="25"/>
        <item x="341"/>
        <item x="269"/>
        <item x="63"/>
        <item x="205"/>
        <item x="118"/>
        <item x="37"/>
        <item x="131"/>
        <item x="148"/>
        <item x="227"/>
        <item x="226"/>
        <item x="89"/>
        <item x="184"/>
        <item x="186"/>
        <item x="348"/>
        <item x="93"/>
        <item x="171"/>
        <item x="170"/>
        <item x="16"/>
        <item x="332"/>
        <item x="287"/>
        <item x="11"/>
        <item x="33"/>
        <item x="259"/>
        <item x="79"/>
        <item x="15"/>
        <item x="138"/>
        <item x="129"/>
        <item x="271"/>
        <item x="135"/>
        <item x="17"/>
        <item x="213"/>
        <item x="189"/>
        <item x="233"/>
        <item x="119"/>
        <item x="179"/>
        <item x="256"/>
        <item x="97"/>
        <item x="80"/>
        <item x="187"/>
        <item x="22"/>
        <item x="248"/>
        <item x="133"/>
        <item x="125"/>
        <item x="208"/>
        <item x="301"/>
        <item x="231"/>
        <item x="309"/>
        <item x="116"/>
        <item x="14"/>
        <item x="156"/>
        <item x="29"/>
        <item x="64"/>
        <item x="108"/>
        <item x="266"/>
        <item x="58"/>
        <item x="249"/>
        <item x="308"/>
        <item x="68"/>
        <item x="247"/>
        <item x="166"/>
        <item x="13"/>
        <item x="177"/>
        <item x="180"/>
        <item x="195"/>
        <item x="8"/>
        <item x="188"/>
        <item x="225"/>
        <item x="196"/>
        <item x="83"/>
        <item x="333"/>
        <item x="172"/>
        <item x="291"/>
        <item x="340"/>
        <item x="57"/>
        <item x="282"/>
        <item x="325"/>
        <item x="110"/>
        <item x="115"/>
        <item x="112"/>
        <item x="346"/>
        <item x="143"/>
        <item x="55"/>
        <item x="88"/>
        <item x="288"/>
        <item x="303"/>
        <item x="322"/>
        <item x="281"/>
        <item x="290"/>
        <item x="7"/>
        <item x="274"/>
        <item x="202"/>
        <item x="311"/>
        <item x="264"/>
        <item x="326"/>
        <item x="4"/>
        <item x="160"/>
        <item x="277"/>
        <item x="26"/>
        <item x="65"/>
        <item x="92"/>
        <item x="203"/>
        <item x="312"/>
        <item x="31"/>
        <item x="111"/>
        <item x="161"/>
        <item x="216"/>
        <item x="236"/>
        <item x="34"/>
        <item x="258"/>
        <item x="207"/>
        <item x="331"/>
        <item x="149"/>
        <item x="313"/>
        <item x="250"/>
        <item x="211"/>
        <item x="128"/>
        <item x="176"/>
        <item x="240"/>
        <item x="279"/>
        <item x="147"/>
        <item x="10"/>
        <item x="120"/>
        <item x="263"/>
        <item x="262"/>
        <item x="273"/>
        <item x="145"/>
        <item x="200"/>
        <item x="307"/>
        <item x="30"/>
        <item x="48"/>
        <item x="181"/>
        <item x="99"/>
        <item x="54"/>
        <item x="336"/>
        <item x="164"/>
        <item x="94"/>
        <item x="43"/>
        <item x="159"/>
        <item x="302"/>
        <item x="206"/>
        <item x="192"/>
        <item x="104"/>
        <item x="295"/>
        <item x="121"/>
        <item x="150"/>
        <item x="28"/>
        <item x="173"/>
        <item x="169"/>
        <item x="76"/>
        <item x="167"/>
        <item x="268"/>
        <item x="260"/>
        <item x="126"/>
        <item x="210"/>
        <item x="245"/>
        <item x="347"/>
        <item x="39"/>
        <item x="66"/>
        <item x="75"/>
        <item x="134"/>
        <item x="280"/>
        <item x="209"/>
        <item x="162"/>
        <item x="9"/>
        <item x="178"/>
        <item x="284"/>
        <item x="140"/>
        <item x="321"/>
        <item x="272"/>
        <item x="137"/>
        <item x="239"/>
        <item x="217"/>
        <item x="70"/>
        <item x="338"/>
        <item x="318"/>
        <item x="329"/>
        <item x="45"/>
        <item x="74"/>
        <item x="300"/>
        <item x="146"/>
        <item x="85"/>
        <item x="59"/>
        <item x="100"/>
        <item x="0"/>
        <item x="345"/>
        <item x="73"/>
        <item x="296"/>
        <item x="297"/>
        <item x="61"/>
        <item x="237"/>
        <item x="151"/>
        <item x="286"/>
        <item x="283"/>
        <item x="72"/>
        <item x="305"/>
        <item x="215"/>
        <item x="267"/>
        <item x="251"/>
        <item x="123"/>
        <item x="113"/>
        <item x="91"/>
        <item x="96"/>
        <item x="124"/>
        <item x="106"/>
        <item x="142"/>
        <item x="234"/>
        <item x="242"/>
        <item x="49"/>
        <item x="41"/>
        <item x="294"/>
        <item x="261"/>
        <item x="315"/>
        <item x="185"/>
        <item x="27"/>
        <item x="23"/>
        <item x="165"/>
        <item x="257"/>
        <item x="19"/>
        <item x="105"/>
        <item x="3"/>
        <item x="71"/>
        <item x="6"/>
        <item x="293"/>
        <item x="5"/>
        <item x="32"/>
        <item x="84"/>
        <item x="136"/>
        <item x="175"/>
        <item x="154"/>
        <item x="182"/>
        <item x="77"/>
        <item x="132"/>
        <item x="183"/>
        <item x="46"/>
        <item x="67"/>
        <item x="87"/>
        <item x="51"/>
        <item x="306"/>
        <item x="229"/>
        <item x="174"/>
        <item x="62"/>
        <item x="324"/>
        <item x="12"/>
        <item x="220"/>
        <item x="122"/>
        <item x="194"/>
        <item x="337"/>
        <item x="232"/>
        <item x="144"/>
        <item x="40"/>
        <item x="139"/>
        <item x="90"/>
        <item x="199"/>
        <item x="47"/>
        <item x="327"/>
        <item x="38"/>
        <item x="221"/>
        <item x="35"/>
        <item x="310"/>
        <item x="157"/>
        <item x="289"/>
        <item x="168"/>
        <item x="265"/>
        <item x="117"/>
        <item x="275"/>
        <item x="114"/>
        <item t="default"/>
      </items>
    </pivotField>
    <pivotField showAll="0"/>
    <pivotField axis="axisRow" showAll="0">
      <items count="5">
        <item x="3"/>
        <item x="2"/>
        <item x="0"/>
        <item x="1"/>
        <item t="default"/>
      </items>
    </pivotField>
    <pivotField showAll="0"/>
    <pivotField showAll="0"/>
    <pivotField showAll="0"/>
    <pivotField numFmtId="1" showAll="0"/>
    <pivotField numFmtId="1" showAll="0"/>
    <pivotField numFmtId="1" showAll="0"/>
    <pivotField numFmtId="1"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10" baseField="0" baseItem="0" numFmtId="1"/>
  </dataFields>
  <chartFormats count="6">
    <chartFormat chart="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253F3-AE53-4E48-9444-6D67106C3555}" sourceName="Category">
  <pivotTables>
    <pivotTable tabId="4" name="totalsales"/>
    <pivotTable tabId="4" name="monthwise"/>
    <pivotTable tabId="4" name="productwise "/>
    <pivotTable tabId="4" name="statesales"/>
    <pivotTable tabId="4" name="totalprofit"/>
    <pivotTable tabId="4" name="totalpurchase"/>
  </pivotTables>
  <data>
    <tabular pivotCacheId="119129939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29D880-D179-4E99-ABD7-CAE7DD6F8FE7}" cache="Slicer_Category" caption="Category"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B5D5780-5288-4DD5-8E9C-D1C3B079F8F2}" cache="Slicer_Category" caption="Catego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7A1C5-6928-4136-A009-479C07148AD7}" name="Table1" displayName="Table1" ref="A1:L1201" totalsRowShown="0">
  <autoFilter ref="A1:L1201" xr:uid="{2927A1C5-6928-4136-A009-479C07148AD7}"/>
  <tableColumns count="12">
    <tableColumn id="1" xr3:uid="{521F0B2E-0F56-486A-BD46-056D33A0E353}" name="Date" dataDxfId="0">
      <calculatedColumnFormula>Table1[[#This Row],[Date]]*1</calculatedColumnFormula>
    </tableColumn>
    <tableColumn id="2" xr3:uid="{03C65DA7-9FB6-4EC5-AA74-066DCDD65946}" name="Name"/>
    <tableColumn id="3" xr3:uid="{5C74C683-0852-46D3-A930-E20FFD1D427E}" name="Category"/>
    <tableColumn id="4" xr3:uid="{582B8792-7714-4D58-82B3-1CA584F4F780}" name="Product Name"/>
    <tableColumn id="5" xr3:uid="{15BC96CE-27A4-46A7-9B20-5D2673B7BF2D}" name="State"/>
    <tableColumn id="6" xr3:uid="{9D68C6CB-5CED-4AC8-AB53-228176070406}" name="Gender"/>
    <tableColumn id="7" xr3:uid="{8266AB19-84FC-476D-8A3F-EB8DD683EFA0}" name="Quantity" dataDxfId="6"/>
    <tableColumn id="8" xr3:uid="{4C29A814-A0ED-401C-B858-4BACEDCE882A}" name="Cost" dataDxfId="5"/>
    <tableColumn id="9" xr3:uid="{4ED8C1AC-6146-43CC-A7FB-DD41A027DFEF}" name="Price" dataDxfId="4"/>
    <tableColumn id="10" xr3:uid="{1AE64702-7100-4E4D-96B3-42E8C0079368}" name="Purchase Cost" dataDxfId="3"/>
    <tableColumn id="11" xr3:uid="{6F0C69E7-B0F6-46D1-AFB5-6B8D8951B092}" name="Sales" dataDxfId="2"/>
    <tableColumn id="12" xr3:uid="{72E6971F-3DB7-4A1F-B34D-C30513E5B9F7}" name="Profit"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943B-862B-4AE2-82C1-055B129F96BB}">
  <dimension ref="A10:AH41"/>
  <sheetViews>
    <sheetView workbookViewId="0"/>
  </sheetViews>
  <sheetFormatPr defaultRowHeight="14.4" x14ac:dyDescent="0.3"/>
  <cols>
    <col min="1" max="1" width="12.5546875" bestFit="1" customWidth="1"/>
    <col min="2" max="4" width="11.6640625" customWidth="1"/>
    <col min="5" max="5" width="12.5546875" bestFit="1" customWidth="1"/>
    <col min="6" max="8" width="19.44140625" customWidth="1"/>
    <col min="10" max="10" width="12.5546875" bestFit="1" customWidth="1"/>
    <col min="11" max="14" width="12.109375" customWidth="1"/>
    <col min="15" max="15" width="12.109375" bestFit="1" customWidth="1"/>
    <col min="16" max="16" width="12.5546875" bestFit="1" customWidth="1"/>
    <col min="17" max="17" width="12.109375" bestFit="1" customWidth="1"/>
    <col min="18" max="18" width="11.6640625" bestFit="1" customWidth="1"/>
    <col min="19" max="22" width="11.6640625" customWidth="1"/>
    <col min="24" max="24" width="12.5546875" bestFit="1" customWidth="1"/>
    <col min="25" max="25" width="12.109375" bestFit="1" customWidth="1"/>
    <col min="26" max="26" width="11.6640625" bestFit="1" customWidth="1"/>
    <col min="28" max="28" width="12.5546875" bestFit="1" customWidth="1"/>
    <col min="29" max="30" width="11.6640625" bestFit="1" customWidth="1"/>
    <col min="33" max="33" width="12.5546875" bestFit="1" customWidth="1"/>
    <col min="34" max="34" width="11.6640625" bestFit="1" customWidth="1"/>
  </cols>
  <sheetData>
    <row r="10" spans="1:34" x14ac:dyDescent="0.3">
      <c r="B10">
        <f>GETPIVOTDATA("Sales",$A$13)</f>
        <v>21320893.729999989</v>
      </c>
    </row>
    <row r="11" spans="1:34" x14ac:dyDescent="0.3">
      <c r="E11">
        <f>GETPIVOTDATA("Purchase Cost",$E$13)</f>
        <v>16361431.259999998</v>
      </c>
      <c r="J11">
        <f>GETPIVOTDATA("Profit",$J$13)</f>
        <v>4959462.4700000007</v>
      </c>
    </row>
    <row r="13" spans="1:34" x14ac:dyDescent="0.3">
      <c r="A13" s="4" t="s">
        <v>49</v>
      </c>
      <c r="B13" t="s">
        <v>46</v>
      </c>
      <c r="E13" s="4" t="s">
        <v>49</v>
      </c>
      <c r="F13" t="s">
        <v>47</v>
      </c>
      <c r="J13" s="4" t="s">
        <v>49</v>
      </c>
      <c r="K13" t="s">
        <v>48</v>
      </c>
      <c r="P13" s="4" t="s">
        <v>49</v>
      </c>
      <c r="Q13" t="s">
        <v>48</v>
      </c>
      <c r="R13" t="s">
        <v>46</v>
      </c>
      <c r="X13" s="4" t="s">
        <v>49</v>
      </c>
      <c r="Y13" t="s">
        <v>48</v>
      </c>
      <c r="Z13" t="s">
        <v>46</v>
      </c>
    </row>
    <row r="14" spans="1:34" x14ac:dyDescent="0.3">
      <c r="A14" s="5" t="s">
        <v>11</v>
      </c>
      <c r="B14" s="1">
        <v>5073611.79</v>
      </c>
      <c r="C14" s="1"/>
      <c r="D14" s="1"/>
      <c r="E14" s="5" t="s">
        <v>11</v>
      </c>
      <c r="F14" s="1">
        <v>3924766.1999999993</v>
      </c>
      <c r="G14" s="1"/>
      <c r="H14" s="1"/>
      <c r="J14" s="5" t="s">
        <v>11</v>
      </c>
      <c r="K14" s="1">
        <v>1148845.5899999999</v>
      </c>
      <c r="L14" s="1"/>
      <c r="M14" s="1"/>
      <c r="N14" s="1"/>
      <c r="P14" s="5" t="s">
        <v>51</v>
      </c>
      <c r="Q14" s="7">
        <v>7.2900819834210748E-2</v>
      </c>
      <c r="R14" s="1">
        <v>1561715.600000001</v>
      </c>
      <c r="S14" s="1"/>
      <c r="T14" s="1"/>
      <c r="U14" s="1"/>
      <c r="V14" s="1"/>
      <c r="X14" s="5" t="s">
        <v>3</v>
      </c>
      <c r="Y14" s="7">
        <v>9.8203507526492081E-2</v>
      </c>
      <c r="Z14" s="1">
        <v>2127200.7500000005</v>
      </c>
    </row>
    <row r="15" spans="1:34" x14ac:dyDescent="0.3">
      <c r="A15" s="5" t="s">
        <v>8</v>
      </c>
      <c r="B15" s="1">
        <v>4895102.8000000007</v>
      </c>
      <c r="E15" s="5" t="s">
        <v>8</v>
      </c>
      <c r="F15" s="1">
        <v>3706582.0200000014</v>
      </c>
      <c r="G15" s="1"/>
      <c r="H15" s="1"/>
      <c r="J15" s="5" t="s">
        <v>8</v>
      </c>
      <c r="K15" s="1">
        <v>1188520.7799999998</v>
      </c>
      <c r="L15" s="1"/>
      <c r="M15" s="1"/>
      <c r="N15" s="1"/>
      <c r="P15" s="5" t="s">
        <v>52</v>
      </c>
      <c r="Q15" s="7">
        <v>7.9495090926658421E-2</v>
      </c>
      <c r="R15" s="1">
        <v>1771825.0899999989</v>
      </c>
      <c r="S15" s="1"/>
      <c r="T15" s="1"/>
      <c r="U15" s="1"/>
      <c r="V15" s="1"/>
      <c r="X15" s="5" t="s">
        <v>15</v>
      </c>
      <c r="Y15" s="7">
        <v>6.717839927519402E-2</v>
      </c>
      <c r="Z15" s="1">
        <v>1516835.5400000003</v>
      </c>
      <c r="AG15" s="4" t="s">
        <v>49</v>
      </c>
      <c r="AH15" t="s">
        <v>46</v>
      </c>
    </row>
    <row r="16" spans="1:34" x14ac:dyDescent="0.3">
      <c r="A16" s="5" t="s">
        <v>2</v>
      </c>
      <c r="B16" s="1">
        <v>5637427.5899999961</v>
      </c>
      <c r="E16" s="5" t="s">
        <v>2</v>
      </c>
      <c r="F16" s="1">
        <v>4334348.1999999974</v>
      </c>
      <c r="G16" s="1"/>
      <c r="H16" s="1"/>
      <c r="J16" s="5" t="s">
        <v>2</v>
      </c>
      <c r="K16" s="1">
        <v>1303079.3900000004</v>
      </c>
      <c r="L16" s="1"/>
      <c r="M16" s="1"/>
      <c r="N16" s="1"/>
      <c r="P16" s="5" t="s">
        <v>53</v>
      </c>
      <c r="Q16" s="7">
        <v>8.0018867447947423E-2</v>
      </c>
      <c r="R16" s="1">
        <v>1698556.58</v>
      </c>
      <c r="S16" s="1"/>
      <c r="T16" s="1"/>
      <c r="U16" s="1"/>
      <c r="V16" s="1"/>
      <c r="X16" s="5" t="s">
        <v>12</v>
      </c>
      <c r="Y16" s="7">
        <v>9.445490773115979E-2</v>
      </c>
      <c r="Z16" s="1">
        <v>2066122.3799999997</v>
      </c>
      <c r="AG16" s="5" t="s">
        <v>40</v>
      </c>
      <c r="AH16" s="1">
        <v>3306486.73</v>
      </c>
    </row>
    <row r="17" spans="1:34" x14ac:dyDescent="0.3">
      <c r="A17" s="5" t="s">
        <v>6</v>
      </c>
      <c r="B17" s="1">
        <v>5714751.5499999952</v>
      </c>
      <c r="E17" s="5" t="s">
        <v>6</v>
      </c>
      <c r="F17" s="1">
        <v>4395734.84</v>
      </c>
      <c r="G17" s="1"/>
      <c r="H17" s="1"/>
      <c r="J17" s="5" t="s">
        <v>6</v>
      </c>
      <c r="K17" s="1">
        <v>1319016.7100000007</v>
      </c>
      <c r="L17" s="1"/>
      <c r="M17" s="1"/>
      <c r="N17" s="1"/>
      <c r="P17" s="5" t="s">
        <v>54</v>
      </c>
      <c r="Q17" s="7">
        <v>6.6622907623293287E-2</v>
      </c>
      <c r="R17" s="1">
        <v>1440177.88</v>
      </c>
      <c r="S17" s="1"/>
      <c r="T17" s="1"/>
      <c r="U17" s="1"/>
      <c r="V17" s="1"/>
      <c r="X17" s="5" t="s">
        <v>16</v>
      </c>
      <c r="Y17" s="7">
        <v>9.2339384110713935E-2</v>
      </c>
      <c r="Z17" s="1">
        <v>1849058.4199999997</v>
      </c>
      <c r="AG17" s="5" t="s">
        <v>4</v>
      </c>
      <c r="AH17" s="1">
        <v>3887342.77</v>
      </c>
    </row>
    <row r="18" spans="1:34" x14ac:dyDescent="0.3">
      <c r="A18" s="5" t="s">
        <v>50</v>
      </c>
      <c r="B18" s="1">
        <v>21320893.729999989</v>
      </c>
      <c r="E18" s="5" t="s">
        <v>50</v>
      </c>
      <c r="F18" s="1">
        <v>16361431.259999998</v>
      </c>
      <c r="G18" s="1"/>
      <c r="H18" s="1"/>
      <c r="J18" s="5" t="s">
        <v>50</v>
      </c>
      <c r="K18" s="1">
        <v>4959462.4700000007</v>
      </c>
      <c r="L18" s="1"/>
      <c r="M18" s="1"/>
      <c r="N18" s="1"/>
      <c r="P18" s="5" t="s">
        <v>55</v>
      </c>
      <c r="Q18" s="7">
        <v>8.7445924356395005E-2</v>
      </c>
      <c r="R18" s="1">
        <v>1854328.2300000004</v>
      </c>
      <c r="S18" s="1"/>
      <c r="T18" s="1"/>
      <c r="U18" s="1"/>
      <c r="V18" s="1"/>
      <c r="X18" s="5" t="s">
        <v>9</v>
      </c>
      <c r="Y18" s="7">
        <v>6.5834158837782306E-2</v>
      </c>
      <c r="Z18" s="1">
        <v>1364988.32</v>
      </c>
      <c r="AG18" s="5" t="s">
        <v>31</v>
      </c>
      <c r="AH18" s="1">
        <v>3524207.97</v>
      </c>
    </row>
    <row r="19" spans="1:34" x14ac:dyDescent="0.3">
      <c r="P19" s="5" t="s">
        <v>56</v>
      </c>
      <c r="Q19" s="7">
        <v>8.1946985678066853E-2</v>
      </c>
      <c r="R19" s="1">
        <v>1726697.3899999994</v>
      </c>
      <c r="S19" s="1"/>
      <c r="T19" s="1"/>
      <c r="U19" s="1"/>
      <c r="V19" s="1"/>
      <c r="X19" s="5" t="s">
        <v>7</v>
      </c>
      <c r="Y19" s="7">
        <v>8.3150331814084669E-2</v>
      </c>
      <c r="Z19" s="1">
        <v>1818209.7000000007</v>
      </c>
      <c r="AG19" s="5" t="s">
        <v>35</v>
      </c>
      <c r="AH19" s="1">
        <v>3207640.7800000003</v>
      </c>
    </row>
    <row r="20" spans="1:34" x14ac:dyDescent="0.3">
      <c r="P20" s="5" t="s">
        <v>57</v>
      </c>
      <c r="Q20" s="7">
        <v>8.0155013250861426E-2</v>
      </c>
      <c r="R20" s="1">
        <v>1591695.0200000003</v>
      </c>
      <c r="S20" s="1"/>
      <c r="T20" s="1"/>
      <c r="U20" s="1"/>
      <c r="V20" s="1"/>
      <c r="X20" s="5" t="s">
        <v>10</v>
      </c>
      <c r="Y20" s="7">
        <v>7.8509605094360169E-2</v>
      </c>
      <c r="Z20" s="1">
        <v>1670874.6800000002</v>
      </c>
      <c r="AG20" s="5" t="s">
        <v>43</v>
      </c>
      <c r="AH20" s="1">
        <v>3451690.8199999984</v>
      </c>
    </row>
    <row r="21" spans="1:34" x14ac:dyDescent="0.3">
      <c r="P21" s="5" t="s">
        <v>58</v>
      </c>
      <c r="Q21" s="7">
        <v>9.4222598280897948E-2</v>
      </c>
      <c r="R21" s="1">
        <v>1971648.5599999998</v>
      </c>
      <c r="S21" s="1"/>
      <c r="T21" s="1"/>
      <c r="U21" s="1"/>
      <c r="V21" s="1"/>
      <c r="X21" s="5" t="s">
        <v>13</v>
      </c>
      <c r="Y21" s="7">
        <v>7.0013892049877721E-2</v>
      </c>
      <c r="Z21" s="1">
        <v>1490653.87</v>
      </c>
      <c r="AG21" s="5" t="s">
        <v>33</v>
      </c>
      <c r="AH21" s="1">
        <v>3943524.66</v>
      </c>
    </row>
    <row r="22" spans="1:34" x14ac:dyDescent="0.3">
      <c r="P22" s="5" t="s">
        <v>59</v>
      </c>
      <c r="Q22" s="7">
        <v>8.4566765559171558E-2</v>
      </c>
      <c r="R22" s="1">
        <v>1687356.61</v>
      </c>
      <c r="S22" s="1"/>
      <c r="T22" s="1"/>
      <c r="U22" s="1"/>
      <c r="V22" s="1"/>
      <c r="X22" s="5" t="s">
        <v>14</v>
      </c>
      <c r="Y22" s="7">
        <v>9.1917223440547619E-2</v>
      </c>
      <c r="Z22" s="1">
        <v>1888576.0000000005</v>
      </c>
      <c r="AG22" s="5" t="s">
        <v>50</v>
      </c>
      <c r="AH22" s="1">
        <v>21320893.73</v>
      </c>
    </row>
    <row r="23" spans="1:34" x14ac:dyDescent="0.3">
      <c r="P23" s="5" t="s">
        <v>60</v>
      </c>
      <c r="Q23" s="7">
        <v>9.2271671127294563E-2</v>
      </c>
      <c r="R23" s="1">
        <v>2035463.5100000002</v>
      </c>
      <c r="S23" s="1"/>
      <c r="T23" s="1"/>
      <c r="U23" s="1"/>
      <c r="V23" s="1"/>
      <c r="X23" s="5" t="s">
        <v>17</v>
      </c>
      <c r="Y23" s="7">
        <v>0.1042996742346555</v>
      </c>
      <c r="Z23" s="1">
        <v>2225667.1700000009</v>
      </c>
    </row>
    <row r="24" spans="1:34" x14ac:dyDescent="0.3">
      <c r="P24" s="5" t="s">
        <v>61</v>
      </c>
      <c r="Q24" s="7">
        <v>9.6633113547888172E-2</v>
      </c>
      <c r="R24" s="1">
        <v>2145263.6500000004</v>
      </c>
      <c r="S24" s="1"/>
      <c r="T24" s="1"/>
      <c r="U24" s="1"/>
      <c r="V24" s="1"/>
      <c r="X24" s="5" t="s">
        <v>5</v>
      </c>
      <c r="Y24" s="7">
        <v>7.2625362562729529E-2</v>
      </c>
      <c r="Z24" s="1">
        <v>1621650.8399999994</v>
      </c>
    </row>
    <row r="25" spans="1:34" x14ac:dyDescent="0.3">
      <c r="P25" s="5" t="s">
        <v>62</v>
      </c>
      <c r="Q25" s="7">
        <v>8.3720242367314457E-2</v>
      </c>
      <c r="R25" s="1">
        <v>1836165.61</v>
      </c>
      <c r="S25" s="1"/>
      <c r="T25" s="1"/>
      <c r="U25" s="1"/>
      <c r="V25" s="1"/>
      <c r="X25" s="5" t="s">
        <v>42</v>
      </c>
      <c r="Y25" s="7">
        <v>8.1473553322402692E-2</v>
      </c>
      <c r="Z25" s="1">
        <v>1681056.06</v>
      </c>
      <c r="AG25" s="3" t="s">
        <v>49</v>
      </c>
      <c r="AH25" s="3" t="s">
        <v>46</v>
      </c>
    </row>
    <row r="26" spans="1:34" x14ac:dyDescent="0.3">
      <c r="P26" s="5" t="s">
        <v>50</v>
      </c>
      <c r="Q26" s="7">
        <v>1</v>
      </c>
      <c r="R26" s="1">
        <v>21320893.729999997</v>
      </c>
      <c r="S26" s="1"/>
      <c r="T26" s="1"/>
      <c r="U26" s="1"/>
      <c r="V26" s="1"/>
      <c r="X26" s="5" t="s">
        <v>50</v>
      </c>
      <c r="Y26" s="7">
        <v>1</v>
      </c>
      <c r="Z26" s="1">
        <v>21320893.73</v>
      </c>
      <c r="AG26" s="5" t="s">
        <v>40</v>
      </c>
      <c r="AH26" s="1">
        <v>3306486.73</v>
      </c>
    </row>
    <row r="27" spans="1:34" x14ac:dyDescent="0.3">
      <c r="AG27" s="5" t="s">
        <v>4</v>
      </c>
      <c r="AH27" s="1">
        <v>3887342.77</v>
      </c>
    </row>
    <row r="28" spans="1:34" x14ac:dyDescent="0.3">
      <c r="AG28" s="5" t="s">
        <v>31</v>
      </c>
      <c r="AH28" s="1">
        <v>3524207.97</v>
      </c>
    </row>
    <row r="29" spans="1:34" x14ac:dyDescent="0.3">
      <c r="X29" s="3" t="s">
        <v>49</v>
      </c>
      <c r="Y29" s="3" t="s">
        <v>46</v>
      </c>
      <c r="Z29" s="3" t="s">
        <v>48</v>
      </c>
      <c r="AB29" s="3" t="s">
        <v>49</v>
      </c>
      <c r="AC29" s="3" t="s">
        <v>48</v>
      </c>
      <c r="AG29" s="5" t="s">
        <v>35</v>
      </c>
      <c r="AH29" s="1">
        <v>3207640.7800000003</v>
      </c>
    </row>
    <row r="30" spans="1:34" x14ac:dyDescent="0.3">
      <c r="X30" s="5" t="s">
        <v>3</v>
      </c>
      <c r="Y30" s="1">
        <v>2127200.7500000005</v>
      </c>
      <c r="Z30" s="7">
        <v>9.8203507526492081E-2</v>
      </c>
      <c r="AB30" s="5" t="s">
        <v>3</v>
      </c>
      <c r="AC30" s="7">
        <v>9.8203507526492081E-2</v>
      </c>
      <c r="AG30" s="5" t="s">
        <v>43</v>
      </c>
      <c r="AH30" s="1">
        <v>3451690.8199999984</v>
      </c>
    </row>
    <row r="31" spans="1:34" x14ac:dyDescent="0.3">
      <c r="X31" s="5" t="s">
        <v>15</v>
      </c>
      <c r="Y31" s="1">
        <v>1516835.5400000003</v>
      </c>
      <c r="Z31" s="7">
        <v>6.717839927519402E-2</v>
      </c>
      <c r="AB31" s="5" t="s">
        <v>15</v>
      </c>
      <c r="AC31" s="7">
        <v>6.717839927519402E-2</v>
      </c>
      <c r="AG31" s="5" t="s">
        <v>33</v>
      </c>
      <c r="AH31" s="1">
        <v>3943524.66</v>
      </c>
    </row>
    <row r="32" spans="1:34" x14ac:dyDescent="0.3">
      <c r="X32" s="5" t="s">
        <v>12</v>
      </c>
      <c r="Y32" s="1">
        <v>2066122.3799999997</v>
      </c>
      <c r="Z32" s="7">
        <v>9.445490773115979E-2</v>
      </c>
      <c r="AB32" s="5" t="s">
        <v>12</v>
      </c>
      <c r="AC32" s="7">
        <v>9.445490773115979E-2</v>
      </c>
    </row>
    <row r="33" spans="24:29" x14ac:dyDescent="0.3">
      <c r="X33" s="5" t="s">
        <v>16</v>
      </c>
      <c r="Y33" s="1">
        <v>1849058.4199999997</v>
      </c>
      <c r="Z33" s="7">
        <v>9.2339384110713935E-2</v>
      </c>
      <c r="AB33" s="5" t="s">
        <v>16</v>
      </c>
      <c r="AC33" s="7">
        <v>9.2339384110713935E-2</v>
      </c>
    </row>
    <row r="34" spans="24:29" x14ac:dyDescent="0.3">
      <c r="X34" s="5" t="s">
        <v>9</v>
      </c>
      <c r="Y34" s="1">
        <v>1364988.32</v>
      </c>
      <c r="Z34" s="7">
        <v>6.5834158837782306E-2</v>
      </c>
      <c r="AB34" s="5" t="s">
        <v>9</v>
      </c>
      <c r="AC34" s="7">
        <v>6.5834158837782306E-2</v>
      </c>
    </row>
    <row r="35" spans="24:29" x14ac:dyDescent="0.3">
      <c r="X35" s="5" t="s">
        <v>7</v>
      </c>
      <c r="Y35" s="1">
        <v>1818209.7000000007</v>
      </c>
      <c r="Z35" s="7">
        <v>8.3150331814084669E-2</v>
      </c>
      <c r="AB35" s="5" t="s">
        <v>7</v>
      </c>
      <c r="AC35" s="7">
        <v>8.3150331814084669E-2</v>
      </c>
    </row>
    <row r="36" spans="24:29" x14ac:dyDescent="0.3">
      <c r="X36" s="5" t="s">
        <v>10</v>
      </c>
      <c r="Y36" s="1">
        <v>1670874.6800000002</v>
      </c>
      <c r="Z36" s="7">
        <v>7.8509605094360169E-2</v>
      </c>
      <c r="AB36" s="5" t="s">
        <v>10</v>
      </c>
      <c r="AC36" s="7">
        <v>7.8509605094360169E-2</v>
      </c>
    </row>
    <row r="37" spans="24:29" x14ac:dyDescent="0.3">
      <c r="X37" s="5" t="s">
        <v>13</v>
      </c>
      <c r="Y37" s="1">
        <v>1490653.87</v>
      </c>
      <c r="Z37" s="7">
        <v>7.0013892049877721E-2</v>
      </c>
      <c r="AB37" s="5" t="s">
        <v>13</v>
      </c>
      <c r="AC37" s="7">
        <v>7.0013892049877721E-2</v>
      </c>
    </row>
    <row r="38" spans="24:29" x14ac:dyDescent="0.3">
      <c r="X38" s="5" t="s">
        <v>14</v>
      </c>
      <c r="Y38" s="1">
        <v>1888576.0000000005</v>
      </c>
      <c r="Z38" s="7">
        <v>9.1917223440547619E-2</v>
      </c>
      <c r="AB38" s="5" t="s">
        <v>14</v>
      </c>
      <c r="AC38" s="7">
        <v>9.1917223440547619E-2</v>
      </c>
    </row>
    <row r="39" spans="24:29" x14ac:dyDescent="0.3">
      <c r="X39" s="5" t="s">
        <v>17</v>
      </c>
      <c r="Y39" s="1">
        <v>2225667.1700000009</v>
      </c>
      <c r="Z39" s="7">
        <v>0.1042996742346555</v>
      </c>
      <c r="AB39" s="5" t="s">
        <v>17</v>
      </c>
      <c r="AC39" s="7">
        <v>0.1042996742346555</v>
      </c>
    </row>
    <row r="40" spans="24:29" x14ac:dyDescent="0.3">
      <c r="X40" s="5" t="s">
        <v>5</v>
      </c>
      <c r="Y40" s="1">
        <v>1621650.8399999994</v>
      </c>
      <c r="Z40" s="7">
        <v>7.2625362562729529E-2</v>
      </c>
      <c r="AB40" s="5" t="s">
        <v>5</v>
      </c>
      <c r="AC40" s="7">
        <v>7.2625362562729529E-2</v>
      </c>
    </row>
    <row r="41" spans="24:29" x14ac:dyDescent="0.3">
      <c r="X41" s="5" t="s">
        <v>42</v>
      </c>
      <c r="Y41" s="1">
        <v>1681056.06</v>
      </c>
      <c r="Z41" s="7">
        <v>8.1473553322402692E-2</v>
      </c>
      <c r="AB41" s="5" t="s">
        <v>42</v>
      </c>
      <c r="AC41" s="7">
        <v>8.1473553322402692E-2</v>
      </c>
    </row>
  </sheetData>
  <sheetProtection algorithmName="SHA-512" hashValue="8H9Jy5ByA7in8oHaJA6XP9gBgR0ywdMTfWY3pzsT/uoAffzvtCAMXBqyhDqpSq/m7D4UO2R0visMlUHRtZp5LQ==" saltValue="eJxww4Wm5Fx4n7h8Psq5Yg==" spinCount="100000" sheet="1" formatCells="0" formatColumns="0" formatRows="0" insertColumns="0" insertRows="0" insertHyperlinks="0" deleteColumns="0" deleteRows="0" sort="0" autoFilter="0" pivotTables="0"/>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B84E-86FC-4ABD-93EA-973D4C77FB0E}">
  <dimension ref="A1:L1201"/>
  <sheetViews>
    <sheetView workbookViewId="0"/>
  </sheetViews>
  <sheetFormatPr defaultRowHeight="14.4" x14ac:dyDescent="0.3"/>
  <cols>
    <col min="1" max="1" width="16.77734375" bestFit="1" customWidth="1"/>
    <col min="3" max="3" width="10.44140625" customWidth="1"/>
    <col min="4" max="4" width="15" customWidth="1"/>
    <col min="6" max="6" width="9" customWidth="1"/>
    <col min="7" max="7" width="10.21875" customWidth="1"/>
    <col min="10" max="10" width="14.6640625" customWidth="1"/>
  </cols>
  <sheetData>
    <row r="1" spans="1:12" x14ac:dyDescent="0.3">
      <c r="A1" t="s">
        <v>18</v>
      </c>
      <c r="B1" t="s">
        <v>19</v>
      </c>
      <c r="C1" t="s">
        <v>20</v>
      </c>
      <c r="D1" t="s">
        <v>0</v>
      </c>
      <c r="E1" t="s">
        <v>21</v>
      </c>
      <c r="F1" t="s">
        <v>22</v>
      </c>
      <c r="G1" t="s">
        <v>1</v>
      </c>
      <c r="H1" t="s">
        <v>23</v>
      </c>
      <c r="I1" t="s">
        <v>24</v>
      </c>
      <c r="J1" t="s">
        <v>25</v>
      </c>
      <c r="K1" t="s">
        <v>26</v>
      </c>
      <c r="L1" t="s">
        <v>27</v>
      </c>
    </row>
    <row r="2" spans="1:12" x14ac:dyDescent="0.3">
      <c r="A2" s="6">
        <f ca="1">Table1[[#This Row],[Date]]*1</f>
        <v>45574</v>
      </c>
      <c r="B2" t="s">
        <v>28</v>
      </c>
      <c r="C2" t="s">
        <v>2</v>
      </c>
      <c r="D2" t="s">
        <v>3</v>
      </c>
      <c r="E2" t="s">
        <v>4</v>
      </c>
      <c r="F2" t="s">
        <v>29</v>
      </c>
      <c r="G2" s="2">
        <v>49</v>
      </c>
      <c r="H2" s="2">
        <v>188.37</v>
      </c>
      <c r="I2" s="2">
        <v>209.53</v>
      </c>
      <c r="J2" s="2">
        <v>9230.1299999999992</v>
      </c>
      <c r="K2" s="2">
        <v>10266.969999999999</v>
      </c>
      <c r="L2" s="2">
        <v>1036.8399999999999</v>
      </c>
    </row>
    <row r="3" spans="1:12" x14ac:dyDescent="0.3">
      <c r="A3" s="6">
        <f ca="1">Table1[[#This Row],[Date]]*1</f>
        <v>45300</v>
      </c>
      <c r="B3" t="s">
        <v>30</v>
      </c>
      <c r="C3" t="s">
        <v>6</v>
      </c>
      <c r="D3" t="s">
        <v>7</v>
      </c>
      <c r="E3" t="s">
        <v>31</v>
      </c>
      <c r="F3" t="s">
        <v>32</v>
      </c>
      <c r="G3" s="2">
        <v>7</v>
      </c>
      <c r="H3" s="2">
        <v>622.12</v>
      </c>
      <c r="I3" s="2">
        <v>896.43</v>
      </c>
      <c r="J3" s="2">
        <v>4354.84</v>
      </c>
      <c r="K3" s="2">
        <v>6275.01</v>
      </c>
      <c r="L3" s="2">
        <v>1920.17</v>
      </c>
    </row>
    <row r="4" spans="1:12" x14ac:dyDescent="0.3">
      <c r="A4" s="6">
        <f ca="1">Table1[[#This Row],[Date]]*1</f>
        <v>45308</v>
      </c>
      <c r="B4" t="s">
        <v>30</v>
      </c>
      <c r="C4" t="s">
        <v>6</v>
      </c>
      <c r="D4" t="s">
        <v>10</v>
      </c>
      <c r="E4" t="s">
        <v>33</v>
      </c>
      <c r="F4" t="s">
        <v>32</v>
      </c>
      <c r="G4" s="2">
        <v>12</v>
      </c>
      <c r="H4" s="2">
        <v>655.14</v>
      </c>
      <c r="I4" s="2">
        <v>826.98</v>
      </c>
      <c r="J4" s="2">
        <v>7861.68</v>
      </c>
      <c r="K4" s="2">
        <v>9923.76</v>
      </c>
      <c r="L4" s="2">
        <v>2062.08</v>
      </c>
    </row>
    <row r="5" spans="1:12" x14ac:dyDescent="0.3">
      <c r="A5" s="6">
        <f ca="1">Table1[[#This Row],[Date]]*1</f>
        <v>45611</v>
      </c>
      <c r="B5" t="s">
        <v>34</v>
      </c>
      <c r="C5" t="s">
        <v>2</v>
      </c>
      <c r="D5" t="s">
        <v>3</v>
      </c>
      <c r="E5" t="s">
        <v>35</v>
      </c>
      <c r="F5" t="s">
        <v>29</v>
      </c>
      <c r="G5" s="2">
        <v>19</v>
      </c>
      <c r="H5" s="2">
        <v>564.47</v>
      </c>
      <c r="I5" s="2">
        <v>688.08</v>
      </c>
      <c r="J5" s="2">
        <v>10724.93</v>
      </c>
      <c r="K5" s="2">
        <v>13073.52</v>
      </c>
      <c r="L5" s="2">
        <v>2348.59</v>
      </c>
    </row>
    <row r="6" spans="1:12" x14ac:dyDescent="0.3">
      <c r="A6" s="6">
        <f ca="1">Table1[[#This Row],[Date]]*1</f>
        <v>45479</v>
      </c>
      <c r="B6" t="s">
        <v>28</v>
      </c>
      <c r="C6" t="s">
        <v>6</v>
      </c>
      <c r="D6" t="s">
        <v>17</v>
      </c>
      <c r="E6" t="s">
        <v>4</v>
      </c>
      <c r="F6" t="s">
        <v>32</v>
      </c>
      <c r="G6" s="2">
        <v>25</v>
      </c>
      <c r="H6" s="2">
        <v>593.14</v>
      </c>
      <c r="I6" s="2">
        <v>701.64</v>
      </c>
      <c r="J6" s="2">
        <v>14828.5</v>
      </c>
      <c r="K6" s="2">
        <v>17541</v>
      </c>
      <c r="L6" s="2">
        <v>2712.5</v>
      </c>
    </row>
    <row r="7" spans="1:12" x14ac:dyDescent="0.3">
      <c r="A7" s="6">
        <f ca="1">Table1[[#This Row],[Date]]*1</f>
        <v>45615</v>
      </c>
      <c r="B7" t="s">
        <v>36</v>
      </c>
      <c r="C7" t="s">
        <v>8</v>
      </c>
      <c r="D7" t="s">
        <v>16</v>
      </c>
      <c r="E7" t="s">
        <v>31</v>
      </c>
      <c r="F7" t="s">
        <v>29</v>
      </c>
      <c r="G7" s="2">
        <v>33</v>
      </c>
      <c r="H7" s="2">
        <v>332.56</v>
      </c>
      <c r="I7" s="2">
        <v>403.11</v>
      </c>
      <c r="J7" s="2">
        <v>10974.48</v>
      </c>
      <c r="K7" s="2">
        <v>13302.63</v>
      </c>
      <c r="L7" s="2">
        <v>2328.15</v>
      </c>
    </row>
    <row r="8" spans="1:12" x14ac:dyDescent="0.3">
      <c r="A8" s="6">
        <f ca="1">Table1[[#This Row],[Date]]*1</f>
        <v>45613</v>
      </c>
      <c r="B8" t="s">
        <v>36</v>
      </c>
      <c r="C8" t="s">
        <v>11</v>
      </c>
      <c r="D8" t="s">
        <v>15</v>
      </c>
      <c r="E8" t="s">
        <v>31</v>
      </c>
      <c r="F8" t="s">
        <v>29</v>
      </c>
      <c r="G8" s="2">
        <v>16</v>
      </c>
      <c r="H8" s="2">
        <v>360.82</v>
      </c>
      <c r="I8" s="2">
        <v>509.45</v>
      </c>
      <c r="J8" s="2">
        <v>5773.12</v>
      </c>
      <c r="K8" s="2">
        <v>8151.2</v>
      </c>
      <c r="L8" s="2">
        <v>2378.08</v>
      </c>
    </row>
    <row r="9" spans="1:12" x14ac:dyDescent="0.3">
      <c r="A9" s="6">
        <f ca="1">Table1[[#This Row],[Date]]*1</f>
        <v>45473</v>
      </c>
      <c r="B9" t="s">
        <v>37</v>
      </c>
      <c r="C9" t="s">
        <v>6</v>
      </c>
      <c r="D9" t="s">
        <v>17</v>
      </c>
      <c r="E9" t="s">
        <v>33</v>
      </c>
      <c r="F9" t="s">
        <v>29</v>
      </c>
      <c r="G9" s="2">
        <v>45</v>
      </c>
      <c r="H9" s="2">
        <v>248.9</v>
      </c>
      <c r="I9" s="2">
        <v>354.09</v>
      </c>
      <c r="J9" s="2">
        <v>11200.5</v>
      </c>
      <c r="K9" s="2">
        <v>15934.05</v>
      </c>
      <c r="L9" s="2">
        <v>4733.55</v>
      </c>
    </row>
    <row r="10" spans="1:12" x14ac:dyDescent="0.3">
      <c r="A10" s="6">
        <f ca="1">Table1[[#This Row],[Date]]*1</f>
        <v>45449</v>
      </c>
      <c r="B10" t="s">
        <v>38</v>
      </c>
      <c r="C10" t="s">
        <v>6</v>
      </c>
      <c r="D10" t="s">
        <v>17</v>
      </c>
      <c r="E10" t="s">
        <v>31</v>
      </c>
      <c r="F10" t="s">
        <v>29</v>
      </c>
      <c r="G10" s="2">
        <v>33</v>
      </c>
      <c r="H10" s="2">
        <v>304.31</v>
      </c>
      <c r="I10" s="2">
        <v>366.9</v>
      </c>
      <c r="J10" s="2">
        <v>10042.23</v>
      </c>
      <c r="K10" s="2">
        <v>12107.7</v>
      </c>
      <c r="L10" s="2">
        <v>2065.4699999999998</v>
      </c>
    </row>
    <row r="11" spans="1:12" x14ac:dyDescent="0.3">
      <c r="A11" s="6">
        <f ca="1">Table1[[#This Row],[Date]]*1</f>
        <v>45552</v>
      </c>
      <c r="B11" t="s">
        <v>28</v>
      </c>
      <c r="C11" t="s">
        <v>11</v>
      </c>
      <c r="D11" t="s">
        <v>15</v>
      </c>
      <c r="E11" t="s">
        <v>4</v>
      </c>
      <c r="F11" t="s">
        <v>29</v>
      </c>
      <c r="G11" s="2">
        <v>43</v>
      </c>
      <c r="H11" s="2">
        <v>241.62</v>
      </c>
      <c r="I11" s="2">
        <v>350.02</v>
      </c>
      <c r="J11" s="2">
        <v>10389.66</v>
      </c>
      <c r="K11" s="2">
        <v>15050.86</v>
      </c>
      <c r="L11" s="2">
        <v>4661.2</v>
      </c>
    </row>
    <row r="12" spans="1:12" x14ac:dyDescent="0.3">
      <c r="A12" s="6">
        <f ca="1">Table1[[#This Row],[Date]]*1</f>
        <v>45613</v>
      </c>
      <c r="B12" t="s">
        <v>30</v>
      </c>
      <c r="C12" t="s">
        <v>11</v>
      </c>
      <c r="D12" t="s">
        <v>15</v>
      </c>
      <c r="E12" t="s">
        <v>4</v>
      </c>
      <c r="F12" t="s">
        <v>32</v>
      </c>
      <c r="G12" s="2">
        <v>46</v>
      </c>
      <c r="H12" s="2">
        <v>940.4</v>
      </c>
      <c r="I12" s="2">
        <v>1347.14</v>
      </c>
      <c r="J12" s="2">
        <v>43258.400000000001</v>
      </c>
      <c r="K12" s="2">
        <v>61968.44</v>
      </c>
      <c r="L12" s="2">
        <v>18710.04</v>
      </c>
    </row>
    <row r="13" spans="1:12" x14ac:dyDescent="0.3">
      <c r="A13" s="6">
        <f ca="1">Table1[[#This Row],[Date]]*1</f>
        <v>45506</v>
      </c>
      <c r="B13" t="s">
        <v>30</v>
      </c>
      <c r="C13" t="s">
        <v>11</v>
      </c>
      <c r="D13" t="s">
        <v>13</v>
      </c>
      <c r="E13" t="s">
        <v>35</v>
      </c>
      <c r="F13" t="s">
        <v>29</v>
      </c>
      <c r="G13" s="2">
        <v>28</v>
      </c>
      <c r="H13" s="2">
        <v>495.53</v>
      </c>
      <c r="I13" s="2">
        <v>718.72</v>
      </c>
      <c r="J13" s="2">
        <v>13874.84</v>
      </c>
      <c r="K13" s="2">
        <v>20124.16</v>
      </c>
      <c r="L13" s="2">
        <v>6249.32</v>
      </c>
    </row>
    <row r="14" spans="1:12" x14ac:dyDescent="0.3">
      <c r="A14" s="6">
        <f ca="1">Table1[[#This Row],[Date]]*1</f>
        <v>45404</v>
      </c>
      <c r="B14" t="s">
        <v>39</v>
      </c>
      <c r="C14" t="s">
        <v>2</v>
      </c>
      <c r="D14" t="s">
        <v>3</v>
      </c>
      <c r="E14" t="s">
        <v>40</v>
      </c>
      <c r="F14" t="s">
        <v>29</v>
      </c>
      <c r="G14" s="2">
        <v>26</v>
      </c>
      <c r="H14" s="2">
        <v>892.62</v>
      </c>
      <c r="I14" s="2">
        <v>1308.01</v>
      </c>
      <c r="J14" s="2">
        <v>23208.12</v>
      </c>
      <c r="K14" s="2">
        <v>34008.26</v>
      </c>
      <c r="L14" s="2">
        <v>10800.14</v>
      </c>
    </row>
    <row r="15" spans="1:12" x14ac:dyDescent="0.3">
      <c r="A15" s="6">
        <f ca="1">Table1[[#This Row],[Date]]*1</f>
        <v>45634</v>
      </c>
      <c r="B15" t="s">
        <v>34</v>
      </c>
      <c r="C15" t="s">
        <v>8</v>
      </c>
      <c r="D15" t="s">
        <v>9</v>
      </c>
      <c r="E15" t="s">
        <v>35</v>
      </c>
      <c r="F15" t="s">
        <v>32</v>
      </c>
      <c r="G15" s="2">
        <v>3</v>
      </c>
      <c r="H15" s="2">
        <v>976.92</v>
      </c>
      <c r="I15" s="2">
        <v>1357.85</v>
      </c>
      <c r="J15" s="2">
        <v>2930.76</v>
      </c>
      <c r="K15" s="2">
        <v>4073.55</v>
      </c>
      <c r="L15" s="2">
        <v>1142.79</v>
      </c>
    </row>
    <row r="16" spans="1:12" x14ac:dyDescent="0.3">
      <c r="A16" s="6">
        <f ca="1">Table1[[#This Row],[Date]]*1</f>
        <v>45445</v>
      </c>
      <c r="B16" t="s">
        <v>41</v>
      </c>
      <c r="C16" t="s">
        <v>8</v>
      </c>
      <c r="D16" t="s">
        <v>42</v>
      </c>
      <c r="E16" t="s">
        <v>40</v>
      </c>
      <c r="F16" t="s">
        <v>29</v>
      </c>
      <c r="G16" s="2">
        <v>35</v>
      </c>
      <c r="H16" s="2">
        <v>410.02</v>
      </c>
      <c r="I16" s="2">
        <v>506.31</v>
      </c>
      <c r="J16" s="2">
        <v>14350.7</v>
      </c>
      <c r="K16" s="2">
        <v>17720.849999999999</v>
      </c>
      <c r="L16" s="2">
        <v>3370.15</v>
      </c>
    </row>
    <row r="17" spans="1:12" x14ac:dyDescent="0.3">
      <c r="A17" s="6">
        <f ca="1">Table1[[#This Row],[Date]]*1</f>
        <v>45433</v>
      </c>
      <c r="B17" t="s">
        <v>28</v>
      </c>
      <c r="C17" t="s">
        <v>6</v>
      </c>
      <c r="D17" t="s">
        <v>17</v>
      </c>
      <c r="E17" t="s">
        <v>40</v>
      </c>
      <c r="F17" t="s">
        <v>29</v>
      </c>
      <c r="G17" s="2">
        <v>18</v>
      </c>
      <c r="H17" s="2">
        <v>172.76</v>
      </c>
      <c r="I17" s="2">
        <v>243.25</v>
      </c>
      <c r="J17" s="2">
        <v>3109.68</v>
      </c>
      <c r="K17" s="2">
        <v>4378.5</v>
      </c>
      <c r="L17" s="2">
        <v>1268.82</v>
      </c>
    </row>
    <row r="18" spans="1:12" x14ac:dyDescent="0.3">
      <c r="A18" s="6">
        <f ca="1">Table1[[#This Row],[Date]]*1</f>
        <v>45408</v>
      </c>
      <c r="B18" t="s">
        <v>36</v>
      </c>
      <c r="C18" t="s">
        <v>11</v>
      </c>
      <c r="D18" t="s">
        <v>15</v>
      </c>
      <c r="E18" t="s">
        <v>43</v>
      </c>
      <c r="F18" t="s">
        <v>29</v>
      </c>
      <c r="G18" s="2">
        <v>30</v>
      </c>
      <c r="H18" s="2">
        <v>243.95</v>
      </c>
      <c r="I18" s="2">
        <v>361.27</v>
      </c>
      <c r="J18" s="2">
        <v>7318.5</v>
      </c>
      <c r="K18" s="2">
        <v>10838.1</v>
      </c>
      <c r="L18" s="2">
        <v>3519.6</v>
      </c>
    </row>
    <row r="19" spans="1:12" x14ac:dyDescent="0.3">
      <c r="A19" s="6">
        <f ca="1">Table1[[#This Row],[Date]]*1</f>
        <v>45401</v>
      </c>
      <c r="B19" t="s">
        <v>37</v>
      </c>
      <c r="C19" t="s">
        <v>8</v>
      </c>
      <c r="D19" t="s">
        <v>16</v>
      </c>
      <c r="E19" t="s">
        <v>43</v>
      </c>
      <c r="F19" t="s">
        <v>32</v>
      </c>
      <c r="G19" s="2">
        <v>39</v>
      </c>
      <c r="H19" s="2">
        <v>214.79</v>
      </c>
      <c r="I19" s="2">
        <v>261.61</v>
      </c>
      <c r="J19" s="2">
        <v>8376.81</v>
      </c>
      <c r="K19" s="2">
        <v>10202.790000000001</v>
      </c>
      <c r="L19" s="2">
        <v>1825.98</v>
      </c>
    </row>
    <row r="20" spans="1:12" x14ac:dyDescent="0.3">
      <c r="A20" s="6">
        <f ca="1">Table1[[#This Row],[Date]]*1</f>
        <v>45414</v>
      </c>
      <c r="B20" t="s">
        <v>41</v>
      </c>
      <c r="C20" t="s">
        <v>2</v>
      </c>
      <c r="D20" t="s">
        <v>5</v>
      </c>
      <c r="E20" t="s">
        <v>31</v>
      </c>
      <c r="F20" t="s">
        <v>32</v>
      </c>
      <c r="G20" s="2">
        <v>25</v>
      </c>
      <c r="H20" s="2">
        <v>240.13</v>
      </c>
      <c r="I20" s="2">
        <v>264.68</v>
      </c>
      <c r="J20" s="2">
        <v>6003.25</v>
      </c>
      <c r="K20" s="2">
        <v>6617</v>
      </c>
      <c r="L20" s="2">
        <v>613.75</v>
      </c>
    </row>
    <row r="21" spans="1:12" x14ac:dyDescent="0.3">
      <c r="A21" s="6">
        <f ca="1">Table1[[#This Row],[Date]]*1</f>
        <v>45346</v>
      </c>
      <c r="B21" t="s">
        <v>37</v>
      </c>
      <c r="C21" t="s">
        <v>8</v>
      </c>
      <c r="D21" t="s">
        <v>42</v>
      </c>
      <c r="E21" t="s">
        <v>33</v>
      </c>
      <c r="F21" t="s">
        <v>29</v>
      </c>
      <c r="G21" s="2">
        <v>38</v>
      </c>
      <c r="H21" s="2">
        <v>795.8</v>
      </c>
      <c r="I21" s="2">
        <v>1121.78</v>
      </c>
      <c r="J21" s="2">
        <v>30240.400000000001</v>
      </c>
      <c r="K21" s="2">
        <v>42627.64</v>
      </c>
      <c r="L21" s="2">
        <v>12387.24</v>
      </c>
    </row>
    <row r="22" spans="1:12" x14ac:dyDescent="0.3">
      <c r="A22" s="6">
        <f ca="1">Table1[[#This Row],[Date]]*1</f>
        <v>45609</v>
      </c>
      <c r="B22" t="s">
        <v>44</v>
      </c>
      <c r="C22" t="s">
        <v>2</v>
      </c>
      <c r="D22" t="s">
        <v>5</v>
      </c>
      <c r="E22" t="s">
        <v>40</v>
      </c>
      <c r="F22" t="s">
        <v>32</v>
      </c>
      <c r="G22" s="2">
        <v>7</v>
      </c>
      <c r="H22" s="2">
        <v>590.14</v>
      </c>
      <c r="I22" s="2">
        <v>792.64</v>
      </c>
      <c r="J22" s="2">
        <v>4130.9799999999996</v>
      </c>
      <c r="K22" s="2">
        <v>5548.48</v>
      </c>
      <c r="L22" s="2">
        <v>1417.5</v>
      </c>
    </row>
    <row r="23" spans="1:12" x14ac:dyDescent="0.3">
      <c r="A23" s="6">
        <f ca="1">Table1[[#This Row],[Date]]*1</f>
        <v>45342</v>
      </c>
      <c r="B23" t="s">
        <v>36</v>
      </c>
      <c r="C23" t="s">
        <v>6</v>
      </c>
      <c r="D23" t="s">
        <v>7</v>
      </c>
      <c r="E23" t="s">
        <v>43</v>
      </c>
      <c r="F23" t="s">
        <v>29</v>
      </c>
      <c r="G23" s="2">
        <v>49</v>
      </c>
      <c r="H23" s="2">
        <v>423.99</v>
      </c>
      <c r="I23" s="2">
        <v>564.52</v>
      </c>
      <c r="J23" s="2">
        <v>20775.509999999998</v>
      </c>
      <c r="K23" s="2">
        <v>27661.48</v>
      </c>
      <c r="L23" s="2">
        <v>6885.97</v>
      </c>
    </row>
    <row r="24" spans="1:12" x14ac:dyDescent="0.3">
      <c r="A24" s="6">
        <f ca="1">Table1[[#This Row],[Date]]*1</f>
        <v>45362</v>
      </c>
      <c r="B24" t="s">
        <v>44</v>
      </c>
      <c r="C24" t="s">
        <v>6</v>
      </c>
      <c r="D24" t="s">
        <v>7</v>
      </c>
      <c r="E24" t="s">
        <v>4</v>
      </c>
      <c r="F24" t="s">
        <v>29</v>
      </c>
      <c r="G24" s="2">
        <v>11</v>
      </c>
      <c r="H24" s="2">
        <v>213.92</v>
      </c>
      <c r="I24" s="2">
        <v>249.69</v>
      </c>
      <c r="J24" s="2">
        <v>2353.12</v>
      </c>
      <c r="K24" s="2">
        <v>2746.59</v>
      </c>
      <c r="L24" s="2">
        <v>393.47</v>
      </c>
    </row>
    <row r="25" spans="1:12" x14ac:dyDescent="0.3">
      <c r="A25" s="6">
        <f ca="1">Table1[[#This Row],[Date]]*1</f>
        <v>45424</v>
      </c>
      <c r="B25" t="s">
        <v>41</v>
      </c>
      <c r="C25" t="s">
        <v>2</v>
      </c>
      <c r="D25" t="s">
        <v>14</v>
      </c>
      <c r="E25" t="s">
        <v>31</v>
      </c>
      <c r="F25" t="s">
        <v>32</v>
      </c>
      <c r="G25" s="2">
        <v>41</v>
      </c>
      <c r="H25" s="2">
        <v>594.02</v>
      </c>
      <c r="I25" s="2">
        <v>775.91</v>
      </c>
      <c r="J25" s="2">
        <v>24354.82</v>
      </c>
      <c r="K25" s="2">
        <v>31812.31</v>
      </c>
      <c r="L25" s="2">
        <v>7457.49</v>
      </c>
    </row>
    <row r="26" spans="1:12" x14ac:dyDescent="0.3">
      <c r="A26" s="6">
        <f ca="1">Table1[[#This Row],[Date]]*1</f>
        <v>45606</v>
      </c>
      <c r="B26" t="s">
        <v>37</v>
      </c>
      <c r="C26" t="s">
        <v>11</v>
      </c>
      <c r="D26" t="s">
        <v>13</v>
      </c>
      <c r="E26" t="s">
        <v>4</v>
      </c>
      <c r="F26" t="s">
        <v>32</v>
      </c>
      <c r="G26" s="2">
        <v>28</v>
      </c>
      <c r="H26" s="2">
        <v>405.98</v>
      </c>
      <c r="I26" s="2">
        <v>584.28</v>
      </c>
      <c r="J26" s="2">
        <v>11367.44</v>
      </c>
      <c r="K26" s="2">
        <v>16359.84</v>
      </c>
      <c r="L26" s="2">
        <v>4992.3999999999996</v>
      </c>
    </row>
    <row r="27" spans="1:12" x14ac:dyDescent="0.3">
      <c r="A27" s="6">
        <f ca="1">Table1[[#This Row],[Date]]*1</f>
        <v>45333</v>
      </c>
      <c r="B27" t="s">
        <v>44</v>
      </c>
      <c r="C27" t="s">
        <v>2</v>
      </c>
      <c r="D27" t="s">
        <v>5</v>
      </c>
      <c r="E27" t="s">
        <v>33</v>
      </c>
      <c r="F27" t="s">
        <v>32</v>
      </c>
      <c r="G27" s="2">
        <v>24</v>
      </c>
      <c r="H27" s="2">
        <v>892.79</v>
      </c>
      <c r="I27" s="2">
        <v>1146.26</v>
      </c>
      <c r="J27" s="2">
        <v>21426.959999999999</v>
      </c>
      <c r="K27" s="2">
        <v>27510.240000000002</v>
      </c>
      <c r="L27" s="2">
        <v>6083.28</v>
      </c>
    </row>
    <row r="28" spans="1:12" x14ac:dyDescent="0.3">
      <c r="A28" s="6">
        <f ca="1">Table1[[#This Row],[Date]]*1</f>
        <v>45382</v>
      </c>
      <c r="B28" t="s">
        <v>44</v>
      </c>
      <c r="C28" t="s">
        <v>2</v>
      </c>
      <c r="D28" t="s">
        <v>14</v>
      </c>
      <c r="E28" t="s">
        <v>4</v>
      </c>
      <c r="F28" t="s">
        <v>29</v>
      </c>
      <c r="G28" s="2">
        <v>28</v>
      </c>
      <c r="H28" s="2">
        <v>533.54</v>
      </c>
      <c r="I28" s="2">
        <v>743.39</v>
      </c>
      <c r="J28" s="2">
        <v>14939.12</v>
      </c>
      <c r="K28" s="2">
        <v>20814.919999999998</v>
      </c>
      <c r="L28" s="2">
        <v>5875.8</v>
      </c>
    </row>
    <row r="29" spans="1:12" x14ac:dyDescent="0.3">
      <c r="A29" s="6">
        <f ca="1">Table1[[#This Row],[Date]]*1</f>
        <v>45483</v>
      </c>
      <c r="B29" t="s">
        <v>28</v>
      </c>
      <c r="C29" t="s">
        <v>6</v>
      </c>
      <c r="D29" t="s">
        <v>7</v>
      </c>
      <c r="E29" t="s">
        <v>33</v>
      </c>
      <c r="F29" t="s">
        <v>32</v>
      </c>
      <c r="G29" s="2">
        <v>37</v>
      </c>
      <c r="H29" s="2">
        <v>675.62</v>
      </c>
      <c r="I29" s="2">
        <v>809.37</v>
      </c>
      <c r="J29" s="2">
        <v>24997.94</v>
      </c>
      <c r="K29" s="2">
        <v>29946.69</v>
      </c>
      <c r="L29" s="2">
        <v>4948.75</v>
      </c>
    </row>
    <row r="30" spans="1:12" x14ac:dyDescent="0.3">
      <c r="A30" s="6">
        <f ca="1">Table1[[#This Row],[Date]]*1</f>
        <v>45605</v>
      </c>
      <c r="B30" t="s">
        <v>41</v>
      </c>
      <c r="C30" t="s">
        <v>6</v>
      </c>
      <c r="D30" t="s">
        <v>10</v>
      </c>
      <c r="E30" t="s">
        <v>40</v>
      </c>
      <c r="F30" t="s">
        <v>32</v>
      </c>
      <c r="G30" s="2">
        <v>27</v>
      </c>
      <c r="H30" s="2">
        <v>910.08</v>
      </c>
      <c r="I30" s="2">
        <v>1315.98</v>
      </c>
      <c r="J30" s="2">
        <v>24572.16</v>
      </c>
      <c r="K30" s="2">
        <v>35531.46</v>
      </c>
      <c r="L30" s="2">
        <v>10959.3</v>
      </c>
    </row>
    <row r="31" spans="1:12" x14ac:dyDescent="0.3">
      <c r="A31" s="6">
        <f ca="1">Table1[[#This Row],[Date]]*1</f>
        <v>45532</v>
      </c>
      <c r="B31" t="s">
        <v>37</v>
      </c>
      <c r="C31" t="s">
        <v>2</v>
      </c>
      <c r="D31" t="s">
        <v>14</v>
      </c>
      <c r="E31" t="s">
        <v>40</v>
      </c>
      <c r="F31" t="s">
        <v>32</v>
      </c>
      <c r="G31" s="2">
        <v>5</v>
      </c>
      <c r="H31" s="2">
        <v>138.97</v>
      </c>
      <c r="I31" s="2">
        <v>171.39</v>
      </c>
      <c r="J31" s="2">
        <v>694.85</v>
      </c>
      <c r="K31" s="2">
        <v>856.95</v>
      </c>
      <c r="L31" s="2">
        <v>162.1</v>
      </c>
    </row>
    <row r="32" spans="1:12" x14ac:dyDescent="0.3">
      <c r="A32" s="6">
        <f ca="1">Table1[[#This Row],[Date]]*1</f>
        <v>45435</v>
      </c>
      <c r="B32" t="s">
        <v>41</v>
      </c>
      <c r="C32" t="s">
        <v>6</v>
      </c>
      <c r="D32" t="s">
        <v>7</v>
      </c>
      <c r="E32" t="s">
        <v>33</v>
      </c>
      <c r="F32" t="s">
        <v>32</v>
      </c>
      <c r="G32" s="2">
        <v>41</v>
      </c>
      <c r="H32" s="2">
        <v>900.62</v>
      </c>
      <c r="I32" s="2">
        <v>1045.3699999999999</v>
      </c>
      <c r="J32" s="2">
        <v>36925.42</v>
      </c>
      <c r="K32" s="2">
        <v>42860.17</v>
      </c>
      <c r="L32" s="2">
        <v>5934.75</v>
      </c>
    </row>
    <row r="33" spans="1:12" x14ac:dyDescent="0.3">
      <c r="A33" s="6">
        <f ca="1">Table1[[#This Row],[Date]]*1</f>
        <v>45514</v>
      </c>
      <c r="B33" t="s">
        <v>34</v>
      </c>
      <c r="C33" t="s">
        <v>8</v>
      </c>
      <c r="D33" t="s">
        <v>16</v>
      </c>
      <c r="E33" t="s">
        <v>33</v>
      </c>
      <c r="F33" t="s">
        <v>32</v>
      </c>
      <c r="G33" s="2">
        <v>44</v>
      </c>
      <c r="H33" s="2">
        <v>433.26</v>
      </c>
      <c r="I33" s="2">
        <v>603.54999999999995</v>
      </c>
      <c r="J33" s="2">
        <v>19063.439999999999</v>
      </c>
      <c r="K33" s="2">
        <v>26556.2</v>
      </c>
      <c r="L33" s="2">
        <v>7492.76</v>
      </c>
    </row>
    <row r="34" spans="1:12" x14ac:dyDescent="0.3">
      <c r="A34" s="6">
        <f ca="1">Table1[[#This Row],[Date]]*1</f>
        <v>45488</v>
      </c>
      <c r="B34" t="s">
        <v>45</v>
      </c>
      <c r="C34" t="s">
        <v>2</v>
      </c>
      <c r="D34" t="s">
        <v>14</v>
      </c>
      <c r="E34" t="s">
        <v>43</v>
      </c>
      <c r="F34" t="s">
        <v>32</v>
      </c>
      <c r="G34" s="2">
        <v>43</v>
      </c>
      <c r="H34" s="2">
        <v>733.7</v>
      </c>
      <c r="I34" s="2">
        <v>1050.26</v>
      </c>
      <c r="J34" s="2">
        <v>31549.1</v>
      </c>
      <c r="K34" s="2">
        <v>45161.18</v>
      </c>
      <c r="L34" s="2">
        <v>13612.08</v>
      </c>
    </row>
    <row r="35" spans="1:12" x14ac:dyDescent="0.3">
      <c r="A35" s="6">
        <f ca="1">Table1[[#This Row],[Date]]*1</f>
        <v>45616</v>
      </c>
      <c r="B35" t="s">
        <v>39</v>
      </c>
      <c r="C35" t="s">
        <v>8</v>
      </c>
      <c r="D35" t="s">
        <v>16</v>
      </c>
      <c r="E35" t="s">
        <v>33</v>
      </c>
      <c r="F35" t="s">
        <v>32</v>
      </c>
      <c r="G35" s="2">
        <v>12</v>
      </c>
      <c r="H35" s="2">
        <v>451.19</v>
      </c>
      <c r="I35" s="2">
        <v>669.66</v>
      </c>
      <c r="J35" s="2">
        <v>5414.28</v>
      </c>
      <c r="K35" s="2">
        <v>8035.92</v>
      </c>
      <c r="L35" s="2">
        <v>2621.64</v>
      </c>
    </row>
    <row r="36" spans="1:12" x14ac:dyDescent="0.3">
      <c r="A36" s="6">
        <f ca="1">Table1[[#This Row],[Date]]*1</f>
        <v>45405</v>
      </c>
      <c r="B36" t="s">
        <v>45</v>
      </c>
      <c r="C36" t="s">
        <v>8</v>
      </c>
      <c r="D36" t="s">
        <v>42</v>
      </c>
      <c r="E36" t="s">
        <v>40</v>
      </c>
      <c r="F36" t="s">
        <v>29</v>
      </c>
      <c r="G36" s="2">
        <v>36</v>
      </c>
      <c r="H36" s="2">
        <v>409.93</v>
      </c>
      <c r="I36" s="2">
        <v>590.23</v>
      </c>
      <c r="J36" s="2">
        <v>14757.48</v>
      </c>
      <c r="K36" s="2">
        <v>21248.28</v>
      </c>
      <c r="L36" s="2">
        <v>6490.8</v>
      </c>
    </row>
    <row r="37" spans="1:12" x14ac:dyDescent="0.3">
      <c r="A37" s="6">
        <f ca="1">Table1[[#This Row],[Date]]*1</f>
        <v>45493</v>
      </c>
      <c r="B37" t="s">
        <v>37</v>
      </c>
      <c r="C37" t="s">
        <v>8</v>
      </c>
      <c r="D37" t="s">
        <v>9</v>
      </c>
      <c r="E37" t="s">
        <v>4</v>
      </c>
      <c r="F37" t="s">
        <v>32</v>
      </c>
      <c r="G37" s="2">
        <v>29</v>
      </c>
      <c r="H37" s="2">
        <v>870.41</v>
      </c>
      <c r="I37" s="2">
        <v>1175.6600000000001</v>
      </c>
      <c r="J37" s="2">
        <v>25241.89</v>
      </c>
      <c r="K37" s="2">
        <v>34094.14</v>
      </c>
      <c r="L37" s="2">
        <v>8852.25</v>
      </c>
    </row>
    <row r="38" spans="1:12" x14ac:dyDescent="0.3">
      <c r="A38" s="6">
        <f ca="1">Table1[[#This Row],[Date]]*1</f>
        <v>45649</v>
      </c>
      <c r="B38" t="s">
        <v>38</v>
      </c>
      <c r="C38" t="s">
        <v>8</v>
      </c>
      <c r="D38" t="s">
        <v>16</v>
      </c>
      <c r="E38" t="s">
        <v>31</v>
      </c>
      <c r="F38" t="s">
        <v>29</v>
      </c>
      <c r="G38" s="2">
        <v>26</v>
      </c>
      <c r="H38" s="2">
        <v>803.5</v>
      </c>
      <c r="I38" s="2">
        <v>1030.45</v>
      </c>
      <c r="J38" s="2">
        <v>20891</v>
      </c>
      <c r="K38" s="2">
        <v>26791.7</v>
      </c>
      <c r="L38" s="2">
        <v>5900.7</v>
      </c>
    </row>
    <row r="39" spans="1:12" x14ac:dyDescent="0.3">
      <c r="A39" s="6">
        <f ca="1">Table1[[#This Row],[Date]]*1</f>
        <v>45296</v>
      </c>
      <c r="B39" t="s">
        <v>44</v>
      </c>
      <c r="C39" t="s">
        <v>6</v>
      </c>
      <c r="D39" t="s">
        <v>17</v>
      </c>
      <c r="E39" t="s">
        <v>4</v>
      </c>
      <c r="F39" t="s">
        <v>29</v>
      </c>
      <c r="G39" s="2">
        <v>36</v>
      </c>
      <c r="H39" s="2">
        <v>165.21</v>
      </c>
      <c r="I39" s="2">
        <v>193.3</v>
      </c>
      <c r="J39" s="2">
        <v>5947.56</v>
      </c>
      <c r="K39" s="2">
        <v>6958.8</v>
      </c>
      <c r="L39" s="2">
        <v>1011.24</v>
      </c>
    </row>
    <row r="40" spans="1:12" x14ac:dyDescent="0.3">
      <c r="A40" s="6">
        <f ca="1">Table1[[#This Row],[Date]]*1</f>
        <v>45389</v>
      </c>
      <c r="B40" t="s">
        <v>45</v>
      </c>
      <c r="C40" t="s">
        <v>11</v>
      </c>
      <c r="D40" t="s">
        <v>13</v>
      </c>
      <c r="E40" t="s">
        <v>40</v>
      </c>
      <c r="F40" t="s">
        <v>32</v>
      </c>
      <c r="G40" s="2">
        <v>41</v>
      </c>
      <c r="H40" s="2">
        <v>64.31</v>
      </c>
      <c r="I40" s="2">
        <v>77.05</v>
      </c>
      <c r="J40" s="2">
        <v>2636.71</v>
      </c>
      <c r="K40" s="2">
        <v>3159.05</v>
      </c>
      <c r="L40" s="2">
        <v>522.34</v>
      </c>
    </row>
    <row r="41" spans="1:12" x14ac:dyDescent="0.3">
      <c r="A41" s="6">
        <f ca="1">Table1[[#This Row],[Date]]*1</f>
        <v>45647</v>
      </c>
      <c r="B41" t="s">
        <v>44</v>
      </c>
      <c r="C41" t="s">
        <v>11</v>
      </c>
      <c r="D41" t="s">
        <v>12</v>
      </c>
      <c r="E41" t="s">
        <v>4</v>
      </c>
      <c r="F41" t="s">
        <v>32</v>
      </c>
      <c r="G41" s="2">
        <v>23</v>
      </c>
      <c r="H41" s="2">
        <v>801.7</v>
      </c>
      <c r="I41" s="2">
        <v>1100.98</v>
      </c>
      <c r="J41" s="2">
        <v>18439.099999999999</v>
      </c>
      <c r="K41" s="2">
        <v>25322.54</v>
      </c>
      <c r="L41" s="2">
        <v>6883.44</v>
      </c>
    </row>
    <row r="42" spans="1:12" x14ac:dyDescent="0.3">
      <c r="A42" s="6">
        <f ca="1">Table1[[#This Row],[Date]]*1</f>
        <v>45545</v>
      </c>
      <c r="B42" t="s">
        <v>36</v>
      </c>
      <c r="C42" t="s">
        <v>11</v>
      </c>
      <c r="D42" t="s">
        <v>15</v>
      </c>
      <c r="E42" t="s">
        <v>31</v>
      </c>
      <c r="F42" t="s">
        <v>32</v>
      </c>
      <c r="G42" s="2">
        <v>20</v>
      </c>
      <c r="H42" s="2">
        <v>824.91</v>
      </c>
      <c r="I42" s="2">
        <v>916.37</v>
      </c>
      <c r="J42" s="2">
        <v>16498.2</v>
      </c>
      <c r="K42" s="2">
        <v>18327.400000000001</v>
      </c>
      <c r="L42" s="2">
        <v>1829.2</v>
      </c>
    </row>
    <row r="43" spans="1:12" x14ac:dyDescent="0.3">
      <c r="A43" s="6">
        <f ca="1">Table1[[#This Row],[Date]]*1</f>
        <v>45641</v>
      </c>
      <c r="B43" t="s">
        <v>34</v>
      </c>
      <c r="C43" t="s">
        <v>6</v>
      </c>
      <c r="D43" t="s">
        <v>7</v>
      </c>
      <c r="E43" t="s">
        <v>40</v>
      </c>
      <c r="F43" t="s">
        <v>32</v>
      </c>
      <c r="G43" s="2">
        <v>19</v>
      </c>
      <c r="H43" s="2">
        <v>237.45</v>
      </c>
      <c r="I43" s="2">
        <v>265.58</v>
      </c>
      <c r="J43" s="2">
        <v>4511.55</v>
      </c>
      <c r="K43" s="2">
        <v>5046.0200000000004</v>
      </c>
      <c r="L43" s="2">
        <v>534.47</v>
      </c>
    </row>
    <row r="44" spans="1:12" x14ac:dyDescent="0.3">
      <c r="A44" s="6">
        <f ca="1">Table1[[#This Row],[Date]]*1</f>
        <v>45600</v>
      </c>
      <c r="B44" t="s">
        <v>39</v>
      </c>
      <c r="C44" t="s">
        <v>6</v>
      </c>
      <c r="D44" t="s">
        <v>10</v>
      </c>
      <c r="E44" t="s">
        <v>4</v>
      </c>
      <c r="F44" t="s">
        <v>32</v>
      </c>
      <c r="G44" s="2">
        <v>14</v>
      </c>
      <c r="H44" s="2">
        <v>124.84</v>
      </c>
      <c r="I44" s="2">
        <v>164.35</v>
      </c>
      <c r="J44" s="2">
        <v>1747.76</v>
      </c>
      <c r="K44" s="2">
        <v>2300.9</v>
      </c>
      <c r="L44" s="2">
        <v>553.14</v>
      </c>
    </row>
    <row r="45" spans="1:12" x14ac:dyDescent="0.3">
      <c r="A45" s="6">
        <f ca="1">Table1[[#This Row],[Date]]*1</f>
        <v>45320</v>
      </c>
      <c r="B45" t="s">
        <v>39</v>
      </c>
      <c r="C45" t="s">
        <v>6</v>
      </c>
      <c r="D45" t="s">
        <v>10</v>
      </c>
      <c r="E45" t="s">
        <v>35</v>
      </c>
      <c r="F45" t="s">
        <v>32</v>
      </c>
      <c r="G45" s="2">
        <v>44</v>
      </c>
      <c r="H45" s="2">
        <v>941.72</v>
      </c>
      <c r="I45" s="2">
        <v>1219.22</v>
      </c>
      <c r="J45" s="2">
        <v>41435.68</v>
      </c>
      <c r="K45" s="2">
        <v>53645.68</v>
      </c>
      <c r="L45" s="2">
        <v>12210</v>
      </c>
    </row>
    <row r="46" spans="1:12" x14ac:dyDescent="0.3">
      <c r="A46" s="6">
        <f ca="1">Table1[[#This Row],[Date]]*1</f>
        <v>45522</v>
      </c>
      <c r="B46" t="s">
        <v>34</v>
      </c>
      <c r="C46" t="s">
        <v>6</v>
      </c>
      <c r="D46" t="s">
        <v>7</v>
      </c>
      <c r="E46" t="s">
        <v>43</v>
      </c>
      <c r="F46" t="s">
        <v>32</v>
      </c>
      <c r="G46" s="2">
        <v>8</v>
      </c>
      <c r="H46" s="2">
        <v>617.47</v>
      </c>
      <c r="I46" s="2">
        <v>842.08</v>
      </c>
      <c r="J46" s="2">
        <v>4939.76</v>
      </c>
      <c r="K46" s="2">
        <v>6736.64</v>
      </c>
      <c r="L46" s="2">
        <v>1796.88</v>
      </c>
    </row>
    <row r="47" spans="1:12" x14ac:dyDescent="0.3">
      <c r="A47" s="6">
        <f ca="1">Table1[[#This Row],[Date]]*1</f>
        <v>45317</v>
      </c>
      <c r="B47" t="s">
        <v>45</v>
      </c>
      <c r="C47" t="s">
        <v>11</v>
      </c>
      <c r="D47" t="s">
        <v>15</v>
      </c>
      <c r="E47" t="s">
        <v>40</v>
      </c>
      <c r="F47" t="s">
        <v>32</v>
      </c>
      <c r="G47" s="2">
        <v>35</v>
      </c>
      <c r="H47" s="2">
        <v>422.86</v>
      </c>
      <c r="I47" s="2">
        <v>540.29</v>
      </c>
      <c r="J47" s="2">
        <v>14800.1</v>
      </c>
      <c r="K47" s="2">
        <v>18910.150000000001</v>
      </c>
      <c r="L47" s="2">
        <v>4110.05</v>
      </c>
    </row>
    <row r="48" spans="1:12" x14ac:dyDescent="0.3">
      <c r="A48" s="6">
        <f ca="1">Table1[[#This Row],[Date]]*1</f>
        <v>45567</v>
      </c>
      <c r="B48" t="s">
        <v>39</v>
      </c>
      <c r="C48" t="s">
        <v>11</v>
      </c>
      <c r="D48" t="s">
        <v>15</v>
      </c>
      <c r="E48" t="s">
        <v>40</v>
      </c>
      <c r="F48" t="s">
        <v>29</v>
      </c>
      <c r="G48" s="2">
        <v>9</v>
      </c>
      <c r="H48" s="2">
        <v>175.2</v>
      </c>
      <c r="I48" s="2">
        <v>241.54</v>
      </c>
      <c r="J48" s="2">
        <v>1576.8</v>
      </c>
      <c r="K48" s="2">
        <v>2173.86</v>
      </c>
      <c r="L48" s="2">
        <v>597.05999999999995</v>
      </c>
    </row>
    <row r="49" spans="1:12" x14ac:dyDescent="0.3">
      <c r="A49" s="6">
        <f ca="1">Table1[[#This Row],[Date]]*1</f>
        <v>45625</v>
      </c>
      <c r="B49" t="s">
        <v>38</v>
      </c>
      <c r="C49" t="s">
        <v>8</v>
      </c>
      <c r="D49" t="s">
        <v>42</v>
      </c>
      <c r="E49" t="s">
        <v>33</v>
      </c>
      <c r="F49" t="s">
        <v>32</v>
      </c>
      <c r="G49" s="2">
        <v>10</v>
      </c>
      <c r="H49" s="2">
        <v>546.55999999999995</v>
      </c>
      <c r="I49" s="2">
        <v>762.77</v>
      </c>
      <c r="J49" s="2">
        <v>5465.6</v>
      </c>
      <c r="K49" s="2">
        <v>7627.7</v>
      </c>
      <c r="L49" s="2">
        <v>2162.1</v>
      </c>
    </row>
    <row r="50" spans="1:12" x14ac:dyDescent="0.3">
      <c r="A50" s="6">
        <f ca="1">Table1[[#This Row],[Date]]*1</f>
        <v>45645</v>
      </c>
      <c r="B50" t="s">
        <v>36</v>
      </c>
      <c r="C50" t="s">
        <v>11</v>
      </c>
      <c r="D50" t="s">
        <v>13</v>
      </c>
      <c r="E50" t="s">
        <v>43</v>
      </c>
      <c r="F50" t="s">
        <v>29</v>
      </c>
      <c r="G50" s="2">
        <v>25</v>
      </c>
      <c r="H50" s="2">
        <v>81.239999999999995</v>
      </c>
      <c r="I50" s="2">
        <v>90.33</v>
      </c>
      <c r="J50" s="2">
        <v>2031</v>
      </c>
      <c r="K50" s="2">
        <v>2258.25</v>
      </c>
      <c r="L50" s="2">
        <v>227.25</v>
      </c>
    </row>
    <row r="51" spans="1:12" x14ac:dyDescent="0.3">
      <c r="A51" s="6">
        <f ca="1">Table1[[#This Row],[Date]]*1</f>
        <v>45515</v>
      </c>
      <c r="B51" t="s">
        <v>30</v>
      </c>
      <c r="C51" t="s">
        <v>6</v>
      </c>
      <c r="D51" t="s">
        <v>17</v>
      </c>
      <c r="E51" t="s">
        <v>33</v>
      </c>
      <c r="F51" t="s">
        <v>29</v>
      </c>
      <c r="G51" s="2">
        <v>27</v>
      </c>
      <c r="H51" s="2">
        <v>820.3</v>
      </c>
      <c r="I51" s="2">
        <v>1227.51</v>
      </c>
      <c r="J51" s="2">
        <v>22148.1</v>
      </c>
      <c r="K51" s="2">
        <v>33142.769999999997</v>
      </c>
      <c r="L51" s="2">
        <v>10994.67</v>
      </c>
    </row>
    <row r="52" spans="1:12" x14ac:dyDescent="0.3">
      <c r="A52" s="6">
        <f ca="1">Table1[[#This Row],[Date]]*1</f>
        <v>45599</v>
      </c>
      <c r="B52" t="s">
        <v>44</v>
      </c>
      <c r="C52" t="s">
        <v>6</v>
      </c>
      <c r="D52" t="s">
        <v>7</v>
      </c>
      <c r="E52" t="s">
        <v>33</v>
      </c>
      <c r="F52" t="s">
        <v>32</v>
      </c>
      <c r="G52" s="2">
        <v>15</v>
      </c>
      <c r="H52" s="2">
        <v>159.24</v>
      </c>
      <c r="I52" s="2">
        <v>213.81</v>
      </c>
      <c r="J52" s="2">
        <v>2388.6</v>
      </c>
      <c r="K52" s="2">
        <v>3207.15</v>
      </c>
      <c r="L52" s="2">
        <v>818.55</v>
      </c>
    </row>
    <row r="53" spans="1:12" x14ac:dyDescent="0.3">
      <c r="A53" s="6">
        <f ca="1">Table1[[#This Row],[Date]]*1</f>
        <v>45380</v>
      </c>
      <c r="B53" t="s">
        <v>39</v>
      </c>
      <c r="C53" t="s">
        <v>6</v>
      </c>
      <c r="D53" t="s">
        <v>17</v>
      </c>
      <c r="E53" t="s">
        <v>33</v>
      </c>
      <c r="F53" t="s">
        <v>29</v>
      </c>
      <c r="G53" s="2">
        <v>22</v>
      </c>
      <c r="H53" s="2">
        <v>876.57</v>
      </c>
      <c r="I53" s="2">
        <v>1211.21</v>
      </c>
      <c r="J53" s="2">
        <v>19284.54</v>
      </c>
      <c r="K53" s="2">
        <v>26646.62</v>
      </c>
      <c r="L53" s="2">
        <v>7362.08</v>
      </c>
    </row>
    <row r="54" spans="1:12" x14ac:dyDescent="0.3">
      <c r="A54" s="6">
        <f ca="1">Table1[[#This Row],[Date]]*1</f>
        <v>45628</v>
      </c>
      <c r="B54" t="s">
        <v>37</v>
      </c>
      <c r="C54" t="s">
        <v>8</v>
      </c>
      <c r="D54" t="s">
        <v>42</v>
      </c>
      <c r="E54" t="s">
        <v>33</v>
      </c>
      <c r="F54" t="s">
        <v>32</v>
      </c>
      <c r="G54" s="2">
        <v>19</v>
      </c>
      <c r="H54" s="2">
        <v>689.49</v>
      </c>
      <c r="I54" s="2">
        <v>788.91</v>
      </c>
      <c r="J54" s="2">
        <v>13100.31</v>
      </c>
      <c r="K54" s="2">
        <v>14989.29</v>
      </c>
      <c r="L54" s="2">
        <v>1888.98</v>
      </c>
    </row>
    <row r="55" spans="1:12" x14ac:dyDescent="0.3">
      <c r="A55" s="6">
        <f ca="1">Table1[[#This Row],[Date]]*1</f>
        <v>45611</v>
      </c>
      <c r="B55" t="s">
        <v>41</v>
      </c>
      <c r="C55" t="s">
        <v>8</v>
      </c>
      <c r="D55" t="s">
        <v>9</v>
      </c>
      <c r="E55" t="s">
        <v>35</v>
      </c>
      <c r="F55" t="s">
        <v>32</v>
      </c>
      <c r="G55" s="2">
        <v>32</v>
      </c>
      <c r="H55" s="2">
        <v>88.78</v>
      </c>
      <c r="I55" s="2">
        <v>119.53</v>
      </c>
      <c r="J55" s="2">
        <v>2840.96</v>
      </c>
      <c r="K55" s="2">
        <v>3824.96</v>
      </c>
      <c r="L55" s="2">
        <v>984</v>
      </c>
    </row>
    <row r="56" spans="1:12" x14ac:dyDescent="0.3">
      <c r="A56" s="6">
        <f ca="1">Table1[[#This Row],[Date]]*1</f>
        <v>45338</v>
      </c>
      <c r="B56" t="s">
        <v>36</v>
      </c>
      <c r="C56" t="s">
        <v>8</v>
      </c>
      <c r="D56" t="s">
        <v>9</v>
      </c>
      <c r="E56" t="s">
        <v>4</v>
      </c>
      <c r="F56" t="s">
        <v>29</v>
      </c>
      <c r="G56" s="2">
        <v>29</v>
      </c>
      <c r="H56" s="2">
        <v>141.82</v>
      </c>
      <c r="I56" s="2">
        <v>196.14</v>
      </c>
      <c r="J56" s="2">
        <v>4112.78</v>
      </c>
      <c r="K56" s="2">
        <v>5688.06</v>
      </c>
      <c r="L56" s="2">
        <v>1575.28</v>
      </c>
    </row>
    <row r="57" spans="1:12" x14ac:dyDescent="0.3">
      <c r="A57" s="6">
        <f ca="1">Table1[[#This Row],[Date]]*1</f>
        <v>45359</v>
      </c>
      <c r="B57" t="s">
        <v>44</v>
      </c>
      <c r="C57" t="s">
        <v>6</v>
      </c>
      <c r="D57" t="s">
        <v>17</v>
      </c>
      <c r="E57" t="s">
        <v>33</v>
      </c>
      <c r="F57" t="s">
        <v>29</v>
      </c>
      <c r="G57" s="2">
        <v>29</v>
      </c>
      <c r="H57" s="2">
        <v>105.25</v>
      </c>
      <c r="I57" s="2">
        <v>139.72999999999999</v>
      </c>
      <c r="J57" s="2">
        <v>3052.25</v>
      </c>
      <c r="K57" s="2">
        <v>4052.17</v>
      </c>
      <c r="L57" s="2">
        <v>999.92</v>
      </c>
    </row>
    <row r="58" spans="1:12" x14ac:dyDescent="0.3">
      <c r="A58" s="6">
        <f ca="1">Table1[[#This Row],[Date]]*1</f>
        <v>45518</v>
      </c>
      <c r="B58" t="s">
        <v>36</v>
      </c>
      <c r="C58" t="s">
        <v>8</v>
      </c>
      <c r="D58" t="s">
        <v>16</v>
      </c>
      <c r="E58" t="s">
        <v>35</v>
      </c>
      <c r="F58" t="s">
        <v>32</v>
      </c>
      <c r="G58" s="2">
        <v>50</v>
      </c>
      <c r="H58" s="2">
        <v>320.12</v>
      </c>
      <c r="I58" s="2">
        <v>447.04</v>
      </c>
      <c r="J58" s="2">
        <v>16006</v>
      </c>
      <c r="K58" s="2">
        <v>22352</v>
      </c>
      <c r="L58" s="2">
        <v>6346</v>
      </c>
    </row>
    <row r="59" spans="1:12" x14ac:dyDescent="0.3">
      <c r="A59" s="6">
        <f ca="1">Table1[[#This Row],[Date]]*1</f>
        <v>45466</v>
      </c>
      <c r="B59" t="s">
        <v>28</v>
      </c>
      <c r="C59" t="s">
        <v>8</v>
      </c>
      <c r="D59" t="s">
        <v>42</v>
      </c>
      <c r="E59" t="s">
        <v>33</v>
      </c>
      <c r="F59" t="s">
        <v>29</v>
      </c>
      <c r="G59" s="2">
        <v>46</v>
      </c>
      <c r="H59" s="2">
        <v>635.13</v>
      </c>
      <c r="I59" s="2">
        <v>806.45</v>
      </c>
      <c r="J59" s="2">
        <v>29215.98</v>
      </c>
      <c r="K59" s="2">
        <v>37096.699999999997</v>
      </c>
      <c r="L59" s="2">
        <v>7880.72</v>
      </c>
    </row>
    <row r="60" spans="1:12" x14ac:dyDescent="0.3">
      <c r="A60" s="6">
        <f ca="1">Table1[[#This Row],[Date]]*1</f>
        <v>45369</v>
      </c>
      <c r="B60" t="s">
        <v>30</v>
      </c>
      <c r="C60" t="s">
        <v>11</v>
      </c>
      <c r="D60" t="s">
        <v>13</v>
      </c>
      <c r="E60" t="s">
        <v>33</v>
      </c>
      <c r="F60" t="s">
        <v>32</v>
      </c>
      <c r="G60" s="2">
        <v>44</v>
      </c>
      <c r="H60" s="2">
        <v>386.01</v>
      </c>
      <c r="I60" s="2">
        <v>481.86</v>
      </c>
      <c r="J60" s="2">
        <v>16984.439999999999</v>
      </c>
      <c r="K60" s="2">
        <v>21201.84</v>
      </c>
      <c r="L60" s="2">
        <v>4217.3999999999996</v>
      </c>
    </row>
    <row r="61" spans="1:12" x14ac:dyDescent="0.3">
      <c r="A61" s="6">
        <f ca="1">Table1[[#This Row],[Date]]*1</f>
        <v>45458</v>
      </c>
      <c r="B61" t="s">
        <v>36</v>
      </c>
      <c r="C61" t="s">
        <v>2</v>
      </c>
      <c r="D61" t="s">
        <v>5</v>
      </c>
      <c r="E61" t="s">
        <v>4</v>
      </c>
      <c r="F61" t="s">
        <v>32</v>
      </c>
      <c r="G61" s="2">
        <v>5</v>
      </c>
      <c r="H61" s="2">
        <v>661.98</v>
      </c>
      <c r="I61" s="2">
        <v>906.93</v>
      </c>
      <c r="J61" s="2">
        <v>3309.9</v>
      </c>
      <c r="K61" s="2">
        <v>4534.6499999999996</v>
      </c>
      <c r="L61" s="2">
        <v>1224.75</v>
      </c>
    </row>
    <row r="62" spans="1:12" x14ac:dyDescent="0.3">
      <c r="A62" s="6">
        <f ca="1">Table1[[#This Row],[Date]]*1</f>
        <v>45439</v>
      </c>
      <c r="B62" t="s">
        <v>36</v>
      </c>
      <c r="C62" t="s">
        <v>6</v>
      </c>
      <c r="D62" t="s">
        <v>10</v>
      </c>
      <c r="E62" t="s">
        <v>35</v>
      </c>
      <c r="F62" t="s">
        <v>29</v>
      </c>
      <c r="G62" s="2">
        <v>6</v>
      </c>
      <c r="H62" s="2">
        <v>257.07</v>
      </c>
      <c r="I62" s="2">
        <v>319.04000000000002</v>
      </c>
      <c r="J62" s="2">
        <v>1542.42</v>
      </c>
      <c r="K62" s="2">
        <v>1914.24</v>
      </c>
      <c r="L62" s="2">
        <v>371.82</v>
      </c>
    </row>
    <row r="63" spans="1:12" x14ac:dyDescent="0.3">
      <c r="A63" s="6">
        <f ca="1">Table1[[#This Row],[Date]]*1</f>
        <v>45572</v>
      </c>
      <c r="B63" t="s">
        <v>30</v>
      </c>
      <c r="C63" t="s">
        <v>6</v>
      </c>
      <c r="D63" t="s">
        <v>17</v>
      </c>
      <c r="E63" t="s">
        <v>4</v>
      </c>
      <c r="F63" t="s">
        <v>29</v>
      </c>
      <c r="G63" s="2">
        <v>23</v>
      </c>
      <c r="H63" s="2">
        <v>512.83000000000004</v>
      </c>
      <c r="I63" s="2">
        <v>628.12</v>
      </c>
      <c r="J63" s="2">
        <v>11795.09</v>
      </c>
      <c r="K63" s="2">
        <v>14446.76</v>
      </c>
      <c r="L63" s="2">
        <v>2651.67</v>
      </c>
    </row>
    <row r="64" spans="1:12" x14ac:dyDescent="0.3">
      <c r="A64" s="6">
        <f ca="1">Table1[[#This Row],[Date]]*1</f>
        <v>45295</v>
      </c>
      <c r="B64" t="s">
        <v>34</v>
      </c>
      <c r="C64" t="s">
        <v>6</v>
      </c>
      <c r="D64" t="s">
        <v>7</v>
      </c>
      <c r="E64" t="s">
        <v>33</v>
      </c>
      <c r="F64" t="s">
        <v>32</v>
      </c>
      <c r="G64" s="2">
        <v>2</v>
      </c>
      <c r="H64" s="2">
        <v>678.61</v>
      </c>
      <c r="I64" s="2">
        <v>791.15</v>
      </c>
      <c r="J64" s="2">
        <v>1357.22</v>
      </c>
      <c r="K64" s="2">
        <v>1582.3</v>
      </c>
      <c r="L64" s="2">
        <v>225.08</v>
      </c>
    </row>
    <row r="65" spans="1:12" x14ac:dyDescent="0.3">
      <c r="A65" s="6">
        <f ca="1">Table1[[#This Row],[Date]]*1</f>
        <v>45579</v>
      </c>
      <c r="B65" t="s">
        <v>37</v>
      </c>
      <c r="C65" t="s">
        <v>11</v>
      </c>
      <c r="D65" t="s">
        <v>12</v>
      </c>
      <c r="E65" t="s">
        <v>35</v>
      </c>
      <c r="F65" t="s">
        <v>32</v>
      </c>
      <c r="G65" s="2">
        <v>47</v>
      </c>
      <c r="H65" s="2">
        <v>533.85</v>
      </c>
      <c r="I65" s="2">
        <v>591.91</v>
      </c>
      <c r="J65" s="2">
        <v>25090.95</v>
      </c>
      <c r="K65" s="2">
        <v>27819.77</v>
      </c>
      <c r="L65" s="2">
        <v>2728.82</v>
      </c>
    </row>
    <row r="66" spans="1:12" x14ac:dyDescent="0.3">
      <c r="A66" s="6">
        <f ca="1">Table1[[#This Row],[Date]]*1</f>
        <v>45632</v>
      </c>
      <c r="B66" t="s">
        <v>30</v>
      </c>
      <c r="C66" t="s">
        <v>8</v>
      </c>
      <c r="D66" t="s">
        <v>16</v>
      </c>
      <c r="E66" t="s">
        <v>4</v>
      </c>
      <c r="F66" t="s">
        <v>29</v>
      </c>
      <c r="G66" s="2">
        <v>19</v>
      </c>
      <c r="H66" s="2">
        <v>278.3</v>
      </c>
      <c r="I66" s="2">
        <v>385.59</v>
      </c>
      <c r="J66" s="2">
        <v>5287.7</v>
      </c>
      <c r="K66" s="2">
        <v>7326.21</v>
      </c>
      <c r="L66" s="2">
        <v>2038.51</v>
      </c>
    </row>
    <row r="67" spans="1:12" x14ac:dyDescent="0.3">
      <c r="A67" s="6">
        <f ca="1">Table1[[#This Row],[Date]]*1</f>
        <v>45386</v>
      </c>
      <c r="B67" t="s">
        <v>34</v>
      </c>
      <c r="C67" t="s">
        <v>11</v>
      </c>
      <c r="D67" t="s">
        <v>13</v>
      </c>
      <c r="E67" t="s">
        <v>4</v>
      </c>
      <c r="F67" t="s">
        <v>32</v>
      </c>
      <c r="G67" s="2">
        <v>28</v>
      </c>
      <c r="H67" s="2">
        <v>401.38</v>
      </c>
      <c r="I67" s="2">
        <v>441.61</v>
      </c>
      <c r="J67" s="2">
        <v>11238.64</v>
      </c>
      <c r="K67" s="2">
        <v>12365.08</v>
      </c>
      <c r="L67" s="2">
        <v>1126.44</v>
      </c>
    </row>
    <row r="68" spans="1:12" x14ac:dyDescent="0.3">
      <c r="A68" s="6">
        <f ca="1">Table1[[#This Row],[Date]]*1</f>
        <v>45436</v>
      </c>
      <c r="B68" t="s">
        <v>38</v>
      </c>
      <c r="C68" t="s">
        <v>11</v>
      </c>
      <c r="D68" t="s">
        <v>13</v>
      </c>
      <c r="E68" t="s">
        <v>4</v>
      </c>
      <c r="F68" t="s">
        <v>32</v>
      </c>
      <c r="G68" s="2">
        <v>48</v>
      </c>
      <c r="H68" s="2">
        <v>153.37</v>
      </c>
      <c r="I68" s="2">
        <v>194.3</v>
      </c>
      <c r="J68" s="2">
        <v>7361.76</v>
      </c>
      <c r="K68" s="2">
        <v>9326.4</v>
      </c>
      <c r="L68" s="2">
        <v>1964.64</v>
      </c>
    </row>
    <row r="69" spans="1:12" x14ac:dyDescent="0.3">
      <c r="A69" s="6">
        <f ca="1">Table1[[#This Row],[Date]]*1</f>
        <v>45484</v>
      </c>
      <c r="B69" t="s">
        <v>41</v>
      </c>
      <c r="C69" t="s">
        <v>8</v>
      </c>
      <c r="D69" t="s">
        <v>16</v>
      </c>
      <c r="E69" t="s">
        <v>4</v>
      </c>
      <c r="F69" t="s">
        <v>29</v>
      </c>
      <c r="G69" s="2">
        <v>32</v>
      </c>
      <c r="H69" s="2">
        <v>71.239999999999995</v>
      </c>
      <c r="I69" s="2">
        <v>95.83</v>
      </c>
      <c r="J69" s="2">
        <v>2279.6799999999998</v>
      </c>
      <c r="K69" s="2">
        <v>3066.56</v>
      </c>
      <c r="L69" s="2">
        <v>786.88</v>
      </c>
    </row>
    <row r="70" spans="1:12" x14ac:dyDescent="0.3">
      <c r="A70" s="6">
        <f ca="1">Table1[[#This Row],[Date]]*1</f>
        <v>45439</v>
      </c>
      <c r="B70" t="s">
        <v>38</v>
      </c>
      <c r="C70" t="s">
        <v>11</v>
      </c>
      <c r="D70" t="s">
        <v>13</v>
      </c>
      <c r="E70" t="s">
        <v>4</v>
      </c>
      <c r="F70" t="s">
        <v>29</v>
      </c>
      <c r="G70" s="2">
        <v>4</v>
      </c>
      <c r="H70" s="2">
        <v>450.21</v>
      </c>
      <c r="I70" s="2">
        <v>562.78</v>
      </c>
      <c r="J70" s="2">
        <v>1800.84</v>
      </c>
      <c r="K70" s="2">
        <v>2251.12</v>
      </c>
      <c r="L70" s="2">
        <v>450.28</v>
      </c>
    </row>
    <row r="71" spans="1:12" x14ac:dyDescent="0.3">
      <c r="A71" s="6">
        <f ca="1">Table1[[#This Row],[Date]]*1</f>
        <v>45546</v>
      </c>
      <c r="B71" t="s">
        <v>30</v>
      </c>
      <c r="C71" t="s">
        <v>11</v>
      </c>
      <c r="D71" t="s">
        <v>12</v>
      </c>
      <c r="E71" t="s">
        <v>35</v>
      </c>
      <c r="F71" t="s">
        <v>29</v>
      </c>
      <c r="G71" s="2">
        <v>49</v>
      </c>
      <c r="H71" s="2">
        <v>727.63</v>
      </c>
      <c r="I71" s="2">
        <v>889.83</v>
      </c>
      <c r="J71" s="2">
        <v>35653.870000000003</v>
      </c>
      <c r="K71" s="2">
        <v>43601.67</v>
      </c>
      <c r="L71" s="2">
        <v>7947.8</v>
      </c>
    </row>
    <row r="72" spans="1:12" x14ac:dyDescent="0.3">
      <c r="A72" s="6">
        <f ca="1">Table1[[#This Row],[Date]]*1</f>
        <v>45626</v>
      </c>
      <c r="B72" t="s">
        <v>36</v>
      </c>
      <c r="C72" t="s">
        <v>8</v>
      </c>
      <c r="D72" t="s">
        <v>42</v>
      </c>
      <c r="E72" t="s">
        <v>43</v>
      </c>
      <c r="F72" t="s">
        <v>32</v>
      </c>
      <c r="G72" s="2">
        <v>31</v>
      </c>
      <c r="H72" s="2">
        <v>629.47</v>
      </c>
      <c r="I72" s="2">
        <v>879.62</v>
      </c>
      <c r="J72" s="2">
        <v>19513.57</v>
      </c>
      <c r="K72" s="2">
        <v>27268.22</v>
      </c>
      <c r="L72" s="2">
        <v>7754.65</v>
      </c>
    </row>
    <row r="73" spans="1:12" x14ac:dyDescent="0.3">
      <c r="A73" s="6">
        <f ca="1">Table1[[#This Row],[Date]]*1</f>
        <v>45442</v>
      </c>
      <c r="B73" t="s">
        <v>45</v>
      </c>
      <c r="C73" t="s">
        <v>2</v>
      </c>
      <c r="D73" t="s">
        <v>5</v>
      </c>
      <c r="E73" t="s">
        <v>43</v>
      </c>
      <c r="F73" t="s">
        <v>29</v>
      </c>
      <c r="G73" s="2">
        <v>46</v>
      </c>
      <c r="H73" s="2">
        <v>725.02</v>
      </c>
      <c r="I73" s="2">
        <v>1015.51</v>
      </c>
      <c r="J73" s="2">
        <v>33350.92</v>
      </c>
      <c r="K73" s="2">
        <v>46713.46</v>
      </c>
      <c r="L73" s="2">
        <v>13362.54</v>
      </c>
    </row>
    <row r="74" spans="1:12" x14ac:dyDescent="0.3">
      <c r="A74" s="6">
        <f ca="1">Table1[[#This Row],[Date]]*1</f>
        <v>45306</v>
      </c>
      <c r="B74" t="s">
        <v>36</v>
      </c>
      <c r="C74" t="s">
        <v>2</v>
      </c>
      <c r="D74" t="s">
        <v>5</v>
      </c>
      <c r="E74" t="s">
        <v>31</v>
      </c>
      <c r="F74" t="s">
        <v>29</v>
      </c>
      <c r="G74" s="2">
        <v>45</v>
      </c>
      <c r="H74" s="2">
        <v>592.16999999999996</v>
      </c>
      <c r="I74" s="2">
        <v>802.95</v>
      </c>
      <c r="J74" s="2">
        <v>26647.65</v>
      </c>
      <c r="K74" s="2">
        <v>36132.75</v>
      </c>
      <c r="L74" s="2">
        <v>9485.1</v>
      </c>
    </row>
    <row r="75" spans="1:12" x14ac:dyDescent="0.3">
      <c r="A75" s="6">
        <f ca="1">Table1[[#This Row],[Date]]*1</f>
        <v>45561</v>
      </c>
      <c r="B75" t="s">
        <v>45</v>
      </c>
      <c r="C75" t="s">
        <v>2</v>
      </c>
      <c r="D75" t="s">
        <v>14</v>
      </c>
      <c r="E75" t="s">
        <v>4</v>
      </c>
      <c r="F75" t="s">
        <v>29</v>
      </c>
      <c r="G75" s="2">
        <v>20</v>
      </c>
      <c r="H75" s="2">
        <v>102.99</v>
      </c>
      <c r="I75" s="2">
        <v>152.63</v>
      </c>
      <c r="J75" s="2">
        <v>2059.8000000000002</v>
      </c>
      <c r="K75" s="2">
        <v>3052.6</v>
      </c>
      <c r="L75" s="2">
        <v>992.8</v>
      </c>
    </row>
    <row r="76" spans="1:12" x14ac:dyDescent="0.3">
      <c r="A76" s="6">
        <f ca="1">Table1[[#This Row],[Date]]*1</f>
        <v>45615</v>
      </c>
      <c r="B76" t="s">
        <v>41</v>
      </c>
      <c r="C76" t="s">
        <v>8</v>
      </c>
      <c r="D76" t="s">
        <v>42</v>
      </c>
      <c r="E76" t="s">
        <v>40</v>
      </c>
      <c r="F76" t="s">
        <v>32</v>
      </c>
      <c r="G76" s="2">
        <v>35</v>
      </c>
      <c r="H76" s="2">
        <v>745.14</v>
      </c>
      <c r="I76" s="2">
        <v>957.97</v>
      </c>
      <c r="J76" s="2">
        <v>26079.9</v>
      </c>
      <c r="K76" s="2">
        <v>33528.949999999997</v>
      </c>
      <c r="L76" s="2">
        <v>7449.05</v>
      </c>
    </row>
    <row r="77" spans="1:12" x14ac:dyDescent="0.3">
      <c r="A77" s="6">
        <f ca="1">Table1[[#This Row],[Date]]*1</f>
        <v>45612</v>
      </c>
      <c r="B77" t="s">
        <v>37</v>
      </c>
      <c r="C77" t="s">
        <v>8</v>
      </c>
      <c r="D77" t="s">
        <v>16</v>
      </c>
      <c r="E77" t="s">
        <v>35</v>
      </c>
      <c r="F77" t="s">
        <v>32</v>
      </c>
      <c r="G77" s="2">
        <v>16</v>
      </c>
      <c r="H77" s="2">
        <v>680.07</v>
      </c>
      <c r="I77" s="2">
        <v>940.35</v>
      </c>
      <c r="J77" s="2">
        <v>10881.12</v>
      </c>
      <c r="K77" s="2">
        <v>15045.6</v>
      </c>
      <c r="L77" s="2">
        <v>4164.4799999999996</v>
      </c>
    </row>
    <row r="78" spans="1:12" x14ac:dyDescent="0.3">
      <c r="A78" s="6">
        <f ca="1">Table1[[#This Row],[Date]]*1</f>
        <v>45584</v>
      </c>
      <c r="B78" t="s">
        <v>39</v>
      </c>
      <c r="C78" t="s">
        <v>8</v>
      </c>
      <c r="D78" t="s">
        <v>42</v>
      </c>
      <c r="E78" t="s">
        <v>31</v>
      </c>
      <c r="F78" t="s">
        <v>32</v>
      </c>
      <c r="G78" s="2">
        <v>38</v>
      </c>
      <c r="H78" s="2">
        <v>768.84</v>
      </c>
      <c r="I78" s="2">
        <v>1064.8900000000001</v>
      </c>
      <c r="J78" s="2">
        <v>29215.919999999998</v>
      </c>
      <c r="K78" s="2">
        <v>40465.82</v>
      </c>
      <c r="L78" s="2">
        <v>11249.9</v>
      </c>
    </row>
    <row r="79" spans="1:12" x14ac:dyDescent="0.3">
      <c r="A79" s="6">
        <f ca="1">Table1[[#This Row],[Date]]*1</f>
        <v>45342</v>
      </c>
      <c r="B79" t="s">
        <v>41</v>
      </c>
      <c r="C79" t="s">
        <v>11</v>
      </c>
      <c r="D79" t="s">
        <v>13</v>
      </c>
      <c r="E79" t="s">
        <v>43</v>
      </c>
      <c r="F79" t="s">
        <v>29</v>
      </c>
      <c r="G79" s="2">
        <v>7</v>
      </c>
      <c r="H79" s="2">
        <v>723.46</v>
      </c>
      <c r="I79" s="2">
        <v>958</v>
      </c>
      <c r="J79" s="2">
        <v>5064.22</v>
      </c>
      <c r="K79" s="2">
        <v>6706</v>
      </c>
      <c r="L79" s="2">
        <v>1641.78</v>
      </c>
    </row>
    <row r="80" spans="1:12" x14ac:dyDescent="0.3">
      <c r="A80" s="6">
        <f ca="1">Table1[[#This Row],[Date]]*1</f>
        <v>45522</v>
      </c>
      <c r="B80" t="s">
        <v>37</v>
      </c>
      <c r="C80" t="s">
        <v>11</v>
      </c>
      <c r="D80" t="s">
        <v>13</v>
      </c>
      <c r="E80" t="s">
        <v>33</v>
      </c>
      <c r="F80" t="s">
        <v>29</v>
      </c>
      <c r="G80" s="2">
        <v>17</v>
      </c>
      <c r="H80" s="2">
        <v>102.53</v>
      </c>
      <c r="I80" s="2">
        <v>143.41999999999999</v>
      </c>
      <c r="J80" s="2">
        <v>1743.01</v>
      </c>
      <c r="K80" s="2">
        <v>2438.14</v>
      </c>
      <c r="L80" s="2">
        <v>695.13</v>
      </c>
    </row>
    <row r="81" spans="1:12" x14ac:dyDescent="0.3">
      <c r="A81" s="6">
        <f ca="1">Table1[[#This Row],[Date]]*1</f>
        <v>45576</v>
      </c>
      <c r="B81" t="s">
        <v>38</v>
      </c>
      <c r="C81" t="s">
        <v>11</v>
      </c>
      <c r="D81" t="s">
        <v>12</v>
      </c>
      <c r="E81" t="s">
        <v>4</v>
      </c>
      <c r="F81" t="s">
        <v>29</v>
      </c>
      <c r="G81" s="2">
        <v>2</v>
      </c>
      <c r="H81" s="2">
        <v>262.19</v>
      </c>
      <c r="I81" s="2">
        <v>369.78</v>
      </c>
      <c r="J81" s="2">
        <v>524.38</v>
      </c>
      <c r="K81" s="2">
        <v>739.56</v>
      </c>
      <c r="L81" s="2">
        <v>215.18</v>
      </c>
    </row>
    <row r="82" spans="1:12" x14ac:dyDescent="0.3">
      <c r="A82" s="6">
        <f ca="1">Table1[[#This Row],[Date]]*1</f>
        <v>45568</v>
      </c>
      <c r="B82" t="s">
        <v>28</v>
      </c>
      <c r="C82" t="s">
        <v>8</v>
      </c>
      <c r="D82" t="s">
        <v>16</v>
      </c>
      <c r="E82" t="s">
        <v>33</v>
      </c>
      <c r="F82" t="s">
        <v>29</v>
      </c>
      <c r="G82" s="2">
        <v>9</v>
      </c>
      <c r="H82" s="2">
        <v>796.6</v>
      </c>
      <c r="I82" s="2">
        <v>1075.29</v>
      </c>
      <c r="J82" s="2">
        <v>7169.4</v>
      </c>
      <c r="K82" s="2">
        <v>9677.61</v>
      </c>
      <c r="L82" s="2">
        <v>2508.21</v>
      </c>
    </row>
    <row r="83" spans="1:12" x14ac:dyDescent="0.3">
      <c r="A83" s="6">
        <f ca="1">Table1[[#This Row],[Date]]*1</f>
        <v>45547</v>
      </c>
      <c r="B83" t="s">
        <v>28</v>
      </c>
      <c r="C83" t="s">
        <v>6</v>
      </c>
      <c r="D83" t="s">
        <v>10</v>
      </c>
      <c r="E83" t="s">
        <v>35</v>
      </c>
      <c r="F83" t="s">
        <v>32</v>
      </c>
      <c r="G83" s="2">
        <v>5</v>
      </c>
      <c r="H83" s="2">
        <v>434.86</v>
      </c>
      <c r="I83" s="2">
        <v>598.05999999999995</v>
      </c>
      <c r="J83" s="2">
        <v>2174.3000000000002</v>
      </c>
      <c r="K83" s="2">
        <v>2990.3</v>
      </c>
      <c r="L83" s="2">
        <v>816</v>
      </c>
    </row>
    <row r="84" spans="1:12" x14ac:dyDescent="0.3">
      <c r="A84" s="6">
        <f ca="1">Table1[[#This Row],[Date]]*1</f>
        <v>45537</v>
      </c>
      <c r="B84" t="s">
        <v>41</v>
      </c>
      <c r="C84" t="s">
        <v>11</v>
      </c>
      <c r="D84" t="s">
        <v>15</v>
      </c>
      <c r="E84" t="s">
        <v>43</v>
      </c>
      <c r="F84" t="s">
        <v>29</v>
      </c>
      <c r="G84" s="2">
        <v>38</v>
      </c>
      <c r="H84" s="2">
        <v>658.58</v>
      </c>
      <c r="I84" s="2">
        <v>896</v>
      </c>
      <c r="J84" s="2">
        <v>25026.04</v>
      </c>
      <c r="K84" s="2">
        <v>34048</v>
      </c>
      <c r="L84" s="2">
        <v>9021.9599999999991</v>
      </c>
    </row>
    <row r="85" spans="1:12" x14ac:dyDescent="0.3">
      <c r="A85" s="6">
        <f ca="1">Table1[[#This Row],[Date]]*1</f>
        <v>45622</v>
      </c>
      <c r="B85" t="s">
        <v>34</v>
      </c>
      <c r="C85" t="s">
        <v>8</v>
      </c>
      <c r="D85" t="s">
        <v>9</v>
      </c>
      <c r="E85" t="s">
        <v>31</v>
      </c>
      <c r="F85" t="s">
        <v>29</v>
      </c>
      <c r="G85" s="2">
        <v>21</v>
      </c>
      <c r="H85" s="2">
        <v>81.510000000000005</v>
      </c>
      <c r="I85" s="2">
        <v>104.27</v>
      </c>
      <c r="J85" s="2">
        <v>1711.71</v>
      </c>
      <c r="K85" s="2">
        <v>2189.67</v>
      </c>
      <c r="L85" s="2">
        <v>477.96</v>
      </c>
    </row>
    <row r="86" spans="1:12" x14ac:dyDescent="0.3">
      <c r="A86" s="6">
        <f ca="1">Table1[[#This Row],[Date]]*1</f>
        <v>45297</v>
      </c>
      <c r="B86" t="s">
        <v>44</v>
      </c>
      <c r="C86" t="s">
        <v>8</v>
      </c>
      <c r="D86" t="s">
        <v>16</v>
      </c>
      <c r="E86" t="s">
        <v>40</v>
      </c>
      <c r="F86" t="s">
        <v>29</v>
      </c>
      <c r="G86" s="2">
        <v>5</v>
      </c>
      <c r="H86" s="2">
        <v>420.24</v>
      </c>
      <c r="I86" s="2">
        <v>567.89</v>
      </c>
      <c r="J86" s="2">
        <v>2101.1999999999998</v>
      </c>
      <c r="K86" s="2">
        <v>2839.45</v>
      </c>
      <c r="L86" s="2">
        <v>738.25</v>
      </c>
    </row>
    <row r="87" spans="1:12" x14ac:dyDescent="0.3">
      <c r="A87" s="6">
        <f ca="1">Table1[[#This Row],[Date]]*1</f>
        <v>45407</v>
      </c>
      <c r="B87" t="s">
        <v>39</v>
      </c>
      <c r="C87" t="s">
        <v>6</v>
      </c>
      <c r="D87" t="s">
        <v>7</v>
      </c>
      <c r="E87" t="s">
        <v>33</v>
      </c>
      <c r="F87" t="s">
        <v>29</v>
      </c>
      <c r="G87" s="2">
        <v>10</v>
      </c>
      <c r="H87" s="2">
        <v>991.29</v>
      </c>
      <c r="I87" s="2">
        <v>1298.2</v>
      </c>
      <c r="J87" s="2">
        <v>9912.9</v>
      </c>
      <c r="K87" s="2">
        <v>12982</v>
      </c>
      <c r="L87" s="2">
        <v>3069.1</v>
      </c>
    </row>
    <row r="88" spans="1:12" x14ac:dyDescent="0.3">
      <c r="A88" s="6">
        <f ca="1">Table1[[#This Row],[Date]]*1</f>
        <v>45422</v>
      </c>
      <c r="B88" t="s">
        <v>44</v>
      </c>
      <c r="C88" t="s">
        <v>6</v>
      </c>
      <c r="D88" t="s">
        <v>17</v>
      </c>
      <c r="E88" t="s">
        <v>40</v>
      </c>
      <c r="F88" t="s">
        <v>29</v>
      </c>
      <c r="G88" s="2">
        <v>33</v>
      </c>
      <c r="H88" s="2">
        <v>595.5</v>
      </c>
      <c r="I88" s="2">
        <v>889.4</v>
      </c>
      <c r="J88" s="2">
        <v>19651.5</v>
      </c>
      <c r="K88" s="2">
        <v>29350.2</v>
      </c>
      <c r="L88" s="2">
        <v>9698.7000000000007</v>
      </c>
    </row>
    <row r="89" spans="1:12" x14ac:dyDescent="0.3">
      <c r="A89" s="6">
        <f ca="1">Table1[[#This Row],[Date]]*1</f>
        <v>45325</v>
      </c>
      <c r="B89" t="s">
        <v>44</v>
      </c>
      <c r="C89" t="s">
        <v>8</v>
      </c>
      <c r="D89" t="s">
        <v>16</v>
      </c>
      <c r="E89" t="s">
        <v>40</v>
      </c>
      <c r="F89" t="s">
        <v>32</v>
      </c>
      <c r="G89" s="2">
        <v>13</v>
      </c>
      <c r="H89" s="2">
        <v>702.52</v>
      </c>
      <c r="I89" s="2">
        <v>951.8</v>
      </c>
      <c r="J89" s="2">
        <v>9132.76</v>
      </c>
      <c r="K89" s="2">
        <v>12373.4</v>
      </c>
      <c r="L89" s="2">
        <v>3240.64</v>
      </c>
    </row>
    <row r="90" spans="1:12" x14ac:dyDescent="0.3">
      <c r="A90" s="6">
        <f ca="1">Table1[[#This Row],[Date]]*1</f>
        <v>45370</v>
      </c>
      <c r="B90" t="s">
        <v>30</v>
      </c>
      <c r="C90" t="s">
        <v>8</v>
      </c>
      <c r="D90" t="s">
        <v>9</v>
      </c>
      <c r="E90" t="s">
        <v>31</v>
      </c>
      <c r="F90" t="s">
        <v>32</v>
      </c>
      <c r="G90" s="2">
        <v>45</v>
      </c>
      <c r="H90" s="2">
        <v>543.84</v>
      </c>
      <c r="I90" s="2">
        <v>708.26</v>
      </c>
      <c r="J90" s="2">
        <v>24472.799999999999</v>
      </c>
      <c r="K90" s="2">
        <v>31871.7</v>
      </c>
      <c r="L90" s="2">
        <v>7398.9</v>
      </c>
    </row>
    <row r="91" spans="1:12" x14ac:dyDescent="0.3">
      <c r="A91" s="6">
        <f ca="1">Table1[[#This Row],[Date]]*1</f>
        <v>45453</v>
      </c>
      <c r="B91" t="s">
        <v>39</v>
      </c>
      <c r="C91" t="s">
        <v>11</v>
      </c>
      <c r="D91" t="s">
        <v>12</v>
      </c>
      <c r="E91" t="s">
        <v>35</v>
      </c>
      <c r="F91" t="s">
        <v>29</v>
      </c>
      <c r="G91" s="2">
        <v>20</v>
      </c>
      <c r="H91" s="2">
        <v>924.35</v>
      </c>
      <c r="I91" s="2">
        <v>1151.33</v>
      </c>
      <c r="J91" s="2">
        <v>18487</v>
      </c>
      <c r="K91" s="2">
        <v>23026.6</v>
      </c>
      <c r="L91" s="2">
        <v>4539.6000000000004</v>
      </c>
    </row>
    <row r="92" spans="1:12" x14ac:dyDescent="0.3">
      <c r="A92" s="6">
        <f ca="1">Table1[[#This Row],[Date]]*1</f>
        <v>45617</v>
      </c>
      <c r="B92" t="s">
        <v>44</v>
      </c>
      <c r="C92" t="s">
        <v>11</v>
      </c>
      <c r="D92" t="s">
        <v>12</v>
      </c>
      <c r="E92" t="s">
        <v>31</v>
      </c>
      <c r="F92" t="s">
        <v>32</v>
      </c>
      <c r="G92" s="2">
        <v>30</v>
      </c>
      <c r="H92" s="2">
        <v>699.42</v>
      </c>
      <c r="I92" s="2">
        <v>1021.69</v>
      </c>
      <c r="J92" s="2">
        <v>20982.6</v>
      </c>
      <c r="K92" s="2">
        <v>30650.7</v>
      </c>
      <c r="L92" s="2">
        <v>9668.1</v>
      </c>
    </row>
    <row r="93" spans="1:12" x14ac:dyDescent="0.3">
      <c r="A93" s="6">
        <f ca="1">Table1[[#This Row],[Date]]*1</f>
        <v>45436</v>
      </c>
      <c r="B93" t="s">
        <v>39</v>
      </c>
      <c r="C93" t="s">
        <v>8</v>
      </c>
      <c r="D93" t="s">
        <v>42</v>
      </c>
      <c r="E93" t="s">
        <v>4</v>
      </c>
      <c r="F93" t="s">
        <v>32</v>
      </c>
      <c r="G93" s="2">
        <v>39</v>
      </c>
      <c r="H93" s="2">
        <v>170.7</v>
      </c>
      <c r="I93" s="2">
        <v>242.43</v>
      </c>
      <c r="J93" s="2">
        <v>6657.3</v>
      </c>
      <c r="K93" s="2">
        <v>9454.77</v>
      </c>
      <c r="L93" s="2">
        <v>2797.47</v>
      </c>
    </row>
    <row r="94" spans="1:12" x14ac:dyDescent="0.3">
      <c r="A94" s="6">
        <f ca="1">Table1[[#This Row],[Date]]*1</f>
        <v>45346</v>
      </c>
      <c r="B94" t="s">
        <v>30</v>
      </c>
      <c r="C94" t="s">
        <v>2</v>
      </c>
      <c r="D94" t="s">
        <v>14</v>
      </c>
      <c r="E94" t="s">
        <v>4</v>
      </c>
      <c r="F94" t="s">
        <v>29</v>
      </c>
      <c r="G94" s="2">
        <v>24</v>
      </c>
      <c r="H94" s="2">
        <v>870.28</v>
      </c>
      <c r="I94" s="2">
        <v>1052.6099999999999</v>
      </c>
      <c r="J94" s="2">
        <v>20886.72</v>
      </c>
      <c r="K94" s="2">
        <v>25262.639999999999</v>
      </c>
      <c r="L94" s="2">
        <v>4375.92</v>
      </c>
    </row>
    <row r="95" spans="1:12" x14ac:dyDescent="0.3">
      <c r="A95" s="6">
        <f ca="1">Table1[[#This Row],[Date]]*1</f>
        <v>45571</v>
      </c>
      <c r="B95" t="s">
        <v>39</v>
      </c>
      <c r="C95" t="s">
        <v>2</v>
      </c>
      <c r="D95" t="s">
        <v>14</v>
      </c>
      <c r="E95" t="s">
        <v>40</v>
      </c>
      <c r="F95" t="s">
        <v>29</v>
      </c>
      <c r="G95" s="2">
        <v>20</v>
      </c>
      <c r="H95" s="2">
        <v>181.85</v>
      </c>
      <c r="I95" s="2">
        <v>208.05</v>
      </c>
      <c r="J95" s="2">
        <v>3637</v>
      </c>
      <c r="K95" s="2">
        <v>4161</v>
      </c>
      <c r="L95" s="2">
        <v>524</v>
      </c>
    </row>
    <row r="96" spans="1:12" x14ac:dyDescent="0.3">
      <c r="A96" s="6">
        <f ca="1">Table1[[#This Row],[Date]]*1</f>
        <v>45404</v>
      </c>
      <c r="B96" t="s">
        <v>30</v>
      </c>
      <c r="C96" t="s">
        <v>11</v>
      </c>
      <c r="D96" t="s">
        <v>12</v>
      </c>
      <c r="E96" t="s">
        <v>4</v>
      </c>
      <c r="F96" t="s">
        <v>29</v>
      </c>
      <c r="G96" s="2">
        <v>8</v>
      </c>
      <c r="H96" s="2">
        <v>92.06</v>
      </c>
      <c r="I96" s="2">
        <v>109.9</v>
      </c>
      <c r="J96" s="2">
        <v>736.48</v>
      </c>
      <c r="K96" s="2">
        <v>879.2</v>
      </c>
      <c r="L96" s="2">
        <v>142.72</v>
      </c>
    </row>
    <row r="97" spans="1:12" x14ac:dyDescent="0.3">
      <c r="A97" s="6">
        <f ca="1">Table1[[#This Row],[Date]]*1</f>
        <v>45309</v>
      </c>
      <c r="B97" t="s">
        <v>34</v>
      </c>
      <c r="C97" t="s">
        <v>2</v>
      </c>
      <c r="D97" t="s">
        <v>3</v>
      </c>
      <c r="E97" t="s">
        <v>35</v>
      </c>
      <c r="F97" t="s">
        <v>32</v>
      </c>
      <c r="G97" s="2">
        <v>9</v>
      </c>
      <c r="H97" s="2">
        <v>762.77</v>
      </c>
      <c r="I97" s="2">
        <v>839.8</v>
      </c>
      <c r="J97" s="2">
        <v>6864.93</v>
      </c>
      <c r="K97" s="2">
        <v>7558.2</v>
      </c>
      <c r="L97" s="2">
        <v>693.27</v>
      </c>
    </row>
    <row r="98" spans="1:12" x14ac:dyDescent="0.3">
      <c r="A98" s="6">
        <f ca="1">Table1[[#This Row],[Date]]*1</f>
        <v>45627</v>
      </c>
      <c r="B98" t="s">
        <v>38</v>
      </c>
      <c r="C98" t="s">
        <v>2</v>
      </c>
      <c r="D98" t="s">
        <v>3</v>
      </c>
      <c r="E98" t="s">
        <v>40</v>
      </c>
      <c r="F98" t="s">
        <v>32</v>
      </c>
      <c r="G98" s="2">
        <v>38</v>
      </c>
      <c r="H98" s="2">
        <v>446.32</v>
      </c>
      <c r="I98" s="2">
        <v>619.86</v>
      </c>
      <c r="J98" s="2">
        <v>16960.16</v>
      </c>
      <c r="K98" s="2">
        <v>23554.68</v>
      </c>
      <c r="L98" s="2">
        <v>6594.52</v>
      </c>
    </row>
    <row r="99" spans="1:12" x14ac:dyDescent="0.3">
      <c r="A99" s="6">
        <f ca="1">Table1[[#This Row],[Date]]*1</f>
        <v>45467</v>
      </c>
      <c r="B99" t="s">
        <v>38</v>
      </c>
      <c r="C99" t="s">
        <v>6</v>
      </c>
      <c r="D99" t="s">
        <v>10</v>
      </c>
      <c r="E99" t="s">
        <v>43</v>
      </c>
      <c r="F99" t="s">
        <v>32</v>
      </c>
      <c r="G99" s="2">
        <v>10</v>
      </c>
      <c r="H99" s="2">
        <v>971.92</v>
      </c>
      <c r="I99" s="2">
        <v>1389.01</v>
      </c>
      <c r="J99" s="2">
        <v>9719.2000000000007</v>
      </c>
      <c r="K99" s="2">
        <v>13890.1</v>
      </c>
      <c r="L99" s="2">
        <v>4170.8999999999996</v>
      </c>
    </row>
    <row r="100" spans="1:12" x14ac:dyDescent="0.3">
      <c r="A100" s="6">
        <f ca="1">Table1[[#This Row],[Date]]*1</f>
        <v>45295</v>
      </c>
      <c r="B100" t="s">
        <v>39</v>
      </c>
      <c r="C100" t="s">
        <v>2</v>
      </c>
      <c r="D100" t="s">
        <v>3</v>
      </c>
      <c r="E100" t="s">
        <v>33</v>
      </c>
      <c r="F100" t="s">
        <v>29</v>
      </c>
      <c r="G100" s="2">
        <v>10</v>
      </c>
      <c r="H100" s="2">
        <v>799.09</v>
      </c>
      <c r="I100" s="2">
        <v>917.59</v>
      </c>
      <c r="J100" s="2">
        <v>7990.9</v>
      </c>
      <c r="K100" s="2">
        <v>9175.9</v>
      </c>
      <c r="L100" s="2">
        <v>1185</v>
      </c>
    </row>
    <row r="101" spans="1:12" x14ac:dyDescent="0.3">
      <c r="A101" s="6">
        <f ca="1">Table1[[#This Row],[Date]]*1</f>
        <v>45467</v>
      </c>
      <c r="B101" t="s">
        <v>36</v>
      </c>
      <c r="C101" t="s">
        <v>2</v>
      </c>
      <c r="D101" t="s">
        <v>5</v>
      </c>
      <c r="E101" t="s">
        <v>43</v>
      </c>
      <c r="F101" t="s">
        <v>32</v>
      </c>
      <c r="G101" s="2">
        <v>6</v>
      </c>
      <c r="H101" s="2">
        <v>738.89</v>
      </c>
      <c r="I101" s="2">
        <v>1107.3399999999999</v>
      </c>
      <c r="J101" s="2">
        <v>4433.34</v>
      </c>
      <c r="K101" s="2">
        <v>6644.04</v>
      </c>
      <c r="L101" s="2">
        <v>2210.6999999999998</v>
      </c>
    </row>
    <row r="102" spans="1:12" x14ac:dyDescent="0.3">
      <c r="A102" s="6">
        <f ca="1">Table1[[#This Row],[Date]]*1</f>
        <v>45394</v>
      </c>
      <c r="B102" t="s">
        <v>28</v>
      </c>
      <c r="C102" t="s">
        <v>6</v>
      </c>
      <c r="D102" t="s">
        <v>17</v>
      </c>
      <c r="E102" t="s">
        <v>40</v>
      </c>
      <c r="F102" t="s">
        <v>29</v>
      </c>
      <c r="G102" s="2">
        <v>48</v>
      </c>
      <c r="H102" s="2">
        <v>561.67999999999995</v>
      </c>
      <c r="I102" s="2">
        <v>826.49</v>
      </c>
      <c r="J102" s="2">
        <v>26960.639999999999</v>
      </c>
      <c r="K102" s="2">
        <v>39671.519999999997</v>
      </c>
      <c r="L102" s="2">
        <v>12710.88</v>
      </c>
    </row>
    <row r="103" spans="1:12" x14ac:dyDescent="0.3">
      <c r="A103" s="6">
        <f ca="1">Table1[[#This Row],[Date]]*1</f>
        <v>45599</v>
      </c>
      <c r="B103" t="s">
        <v>44</v>
      </c>
      <c r="C103" t="s">
        <v>8</v>
      </c>
      <c r="D103" t="s">
        <v>42</v>
      </c>
      <c r="E103" t="s">
        <v>40</v>
      </c>
      <c r="F103" t="s">
        <v>32</v>
      </c>
      <c r="G103" s="2">
        <v>1</v>
      </c>
      <c r="H103" s="2">
        <v>139.76</v>
      </c>
      <c r="I103" s="2">
        <v>177.16</v>
      </c>
      <c r="J103" s="2">
        <v>139.76</v>
      </c>
      <c r="K103" s="2">
        <v>177.16</v>
      </c>
      <c r="L103" s="2">
        <v>37.4</v>
      </c>
    </row>
    <row r="104" spans="1:12" x14ac:dyDescent="0.3">
      <c r="A104" s="6">
        <f ca="1">Table1[[#This Row],[Date]]*1</f>
        <v>45643</v>
      </c>
      <c r="B104" t="s">
        <v>39</v>
      </c>
      <c r="C104" t="s">
        <v>2</v>
      </c>
      <c r="D104" t="s">
        <v>3</v>
      </c>
      <c r="E104" t="s">
        <v>31</v>
      </c>
      <c r="F104" t="s">
        <v>29</v>
      </c>
      <c r="G104" s="2">
        <v>10</v>
      </c>
      <c r="H104" s="2">
        <v>848.43</v>
      </c>
      <c r="I104" s="2">
        <v>1082.19</v>
      </c>
      <c r="J104" s="2">
        <v>8484.2999999999993</v>
      </c>
      <c r="K104" s="2">
        <v>10821.9</v>
      </c>
      <c r="L104" s="2">
        <v>2337.6</v>
      </c>
    </row>
    <row r="105" spans="1:12" x14ac:dyDescent="0.3">
      <c r="A105" s="6">
        <f ca="1">Table1[[#This Row],[Date]]*1</f>
        <v>45545</v>
      </c>
      <c r="B105" t="s">
        <v>28</v>
      </c>
      <c r="C105" t="s">
        <v>8</v>
      </c>
      <c r="D105" t="s">
        <v>42</v>
      </c>
      <c r="E105" t="s">
        <v>40</v>
      </c>
      <c r="F105" t="s">
        <v>29</v>
      </c>
      <c r="G105" s="2">
        <v>28</v>
      </c>
      <c r="H105" s="2">
        <v>911.4</v>
      </c>
      <c r="I105" s="2">
        <v>1241.3599999999999</v>
      </c>
      <c r="J105" s="2">
        <v>25519.200000000001</v>
      </c>
      <c r="K105" s="2">
        <v>34758.080000000002</v>
      </c>
      <c r="L105" s="2">
        <v>9238.8799999999992</v>
      </c>
    </row>
    <row r="106" spans="1:12" x14ac:dyDescent="0.3">
      <c r="A106" s="6">
        <f ca="1">Table1[[#This Row],[Date]]*1</f>
        <v>45592</v>
      </c>
      <c r="B106" t="s">
        <v>28</v>
      </c>
      <c r="C106" t="s">
        <v>6</v>
      </c>
      <c r="D106" t="s">
        <v>10</v>
      </c>
      <c r="E106" t="s">
        <v>40</v>
      </c>
      <c r="F106" t="s">
        <v>29</v>
      </c>
      <c r="G106" s="2">
        <v>33</v>
      </c>
      <c r="H106" s="2">
        <v>139.03</v>
      </c>
      <c r="I106" s="2">
        <v>200.01</v>
      </c>
      <c r="J106" s="2">
        <v>4587.99</v>
      </c>
      <c r="K106" s="2">
        <v>6600.33</v>
      </c>
      <c r="L106" s="2">
        <v>2012.34</v>
      </c>
    </row>
    <row r="107" spans="1:12" x14ac:dyDescent="0.3">
      <c r="A107" s="6">
        <f ca="1">Table1[[#This Row],[Date]]*1</f>
        <v>45485</v>
      </c>
      <c r="B107" t="s">
        <v>39</v>
      </c>
      <c r="C107" t="s">
        <v>8</v>
      </c>
      <c r="D107" t="s">
        <v>16</v>
      </c>
      <c r="E107" t="s">
        <v>43</v>
      </c>
      <c r="F107" t="s">
        <v>32</v>
      </c>
      <c r="G107" s="2">
        <v>39</v>
      </c>
      <c r="H107" s="2">
        <v>767.35</v>
      </c>
      <c r="I107" s="2">
        <v>1088.06</v>
      </c>
      <c r="J107" s="2">
        <v>29926.65</v>
      </c>
      <c r="K107" s="2">
        <v>42434.34</v>
      </c>
      <c r="L107" s="2">
        <v>12507.69</v>
      </c>
    </row>
    <row r="108" spans="1:12" x14ac:dyDescent="0.3">
      <c r="A108" s="6">
        <f ca="1">Table1[[#This Row],[Date]]*1</f>
        <v>45398</v>
      </c>
      <c r="B108" t="s">
        <v>44</v>
      </c>
      <c r="C108" t="s">
        <v>8</v>
      </c>
      <c r="D108" t="s">
        <v>9</v>
      </c>
      <c r="E108" t="s">
        <v>31</v>
      </c>
      <c r="F108" t="s">
        <v>32</v>
      </c>
      <c r="G108" s="2">
        <v>50</v>
      </c>
      <c r="H108" s="2">
        <v>635.17999999999995</v>
      </c>
      <c r="I108" s="2">
        <v>881.5</v>
      </c>
      <c r="J108" s="2">
        <v>31759</v>
      </c>
      <c r="K108" s="2">
        <v>44075</v>
      </c>
      <c r="L108" s="2">
        <v>12316</v>
      </c>
    </row>
    <row r="109" spans="1:12" x14ac:dyDescent="0.3">
      <c r="A109" s="6">
        <f ca="1">Table1[[#This Row],[Date]]*1</f>
        <v>45576</v>
      </c>
      <c r="B109" t="s">
        <v>28</v>
      </c>
      <c r="C109" t="s">
        <v>8</v>
      </c>
      <c r="D109" t="s">
        <v>16</v>
      </c>
      <c r="E109" t="s">
        <v>4</v>
      </c>
      <c r="F109" t="s">
        <v>32</v>
      </c>
      <c r="G109" s="2">
        <v>11</v>
      </c>
      <c r="H109" s="2">
        <v>478.98</v>
      </c>
      <c r="I109" s="2">
        <v>584.63</v>
      </c>
      <c r="J109" s="2">
        <v>5268.78</v>
      </c>
      <c r="K109" s="2">
        <v>6430.93</v>
      </c>
      <c r="L109" s="2">
        <v>1162.1500000000001</v>
      </c>
    </row>
    <row r="110" spans="1:12" x14ac:dyDescent="0.3">
      <c r="A110" s="6">
        <f ca="1">Table1[[#This Row],[Date]]*1</f>
        <v>45521</v>
      </c>
      <c r="B110" t="s">
        <v>38</v>
      </c>
      <c r="C110" t="s">
        <v>11</v>
      </c>
      <c r="D110" t="s">
        <v>15</v>
      </c>
      <c r="E110" t="s">
        <v>35</v>
      </c>
      <c r="F110" t="s">
        <v>32</v>
      </c>
      <c r="G110" s="2">
        <v>6</v>
      </c>
      <c r="H110" s="2">
        <v>171.11</v>
      </c>
      <c r="I110" s="2">
        <v>210.24</v>
      </c>
      <c r="J110" s="2">
        <v>1026.6600000000001</v>
      </c>
      <c r="K110" s="2">
        <v>1261.44</v>
      </c>
      <c r="L110" s="2">
        <v>234.78</v>
      </c>
    </row>
    <row r="111" spans="1:12" x14ac:dyDescent="0.3">
      <c r="A111" s="6">
        <f ca="1">Table1[[#This Row],[Date]]*1</f>
        <v>45377</v>
      </c>
      <c r="B111" t="s">
        <v>28</v>
      </c>
      <c r="C111" t="s">
        <v>11</v>
      </c>
      <c r="D111" t="s">
        <v>12</v>
      </c>
      <c r="E111" t="s">
        <v>31</v>
      </c>
      <c r="F111" t="s">
        <v>32</v>
      </c>
      <c r="G111" s="2">
        <v>9</v>
      </c>
      <c r="H111" s="2">
        <v>87.78</v>
      </c>
      <c r="I111" s="2">
        <v>125.58</v>
      </c>
      <c r="J111" s="2">
        <v>790.02</v>
      </c>
      <c r="K111" s="2">
        <v>1130.22</v>
      </c>
      <c r="L111" s="2">
        <v>340.2</v>
      </c>
    </row>
    <row r="112" spans="1:12" x14ac:dyDescent="0.3">
      <c r="A112" s="6">
        <f ca="1">Table1[[#This Row],[Date]]*1</f>
        <v>45593</v>
      </c>
      <c r="B112" t="s">
        <v>45</v>
      </c>
      <c r="C112" t="s">
        <v>8</v>
      </c>
      <c r="D112" t="s">
        <v>42</v>
      </c>
      <c r="E112" t="s">
        <v>35</v>
      </c>
      <c r="F112" t="s">
        <v>29</v>
      </c>
      <c r="G112" s="2">
        <v>11</v>
      </c>
      <c r="H112" s="2">
        <v>425.04</v>
      </c>
      <c r="I112" s="2">
        <v>628.45000000000005</v>
      </c>
      <c r="J112" s="2">
        <v>4675.4399999999996</v>
      </c>
      <c r="K112" s="2">
        <v>6912.95</v>
      </c>
      <c r="L112" s="2">
        <v>2237.5100000000002</v>
      </c>
    </row>
    <row r="113" spans="1:12" x14ac:dyDescent="0.3">
      <c r="A113" s="6">
        <f ca="1">Table1[[#This Row],[Date]]*1</f>
        <v>45421</v>
      </c>
      <c r="B113" t="s">
        <v>36</v>
      </c>
      <c r="C113" t="s">
        <v>11</v>
      </c>
      <c r="D113" t="s">
        <v>12</v>
      </c>
      <c r="E113" t="s">
        <v>43</v>
      </c>
      <c r="F113" t="s">
        <v>29</v>
      </c>
      <c r="G113" s="2">
        <v>46</v>
      </c>
      <c r="H113" s="2">
        <v>932.45</v>
      </c>
      <c r="I113" s="2">
        <v>1188.3</v>
      </c>
      <c r="J113" s="2">
        <v>42892.7</v>
      </c>
      <c r="K113" s="2">
        <v>54661.8</v>
      </c>
      <c r="L113" s="2">
        <v>11769.1</v>
      </c>
    </row>
    <row r="114" spans="1:12" x14ac:dyDescent="0.3">
      <c r="A114" s="6">
        <f ca="1">Table1[[#This Row],[Date]]*1</f>
        <v>45372</v>
      </c>
      <c r="B114" t="s">
        <v>38</v>
      </c>
      <c r="C114" t="s">
        <v>11</v>
      </c>
      <c r="D114" t="s">
        <v>12</v>
      </c>
      <c r="E114" t="s">
        <v>43</v>
      </c>
      <c r="F114" t="s">
        <v>29</v>
      </c>
      <c r="G114" s="2">
        <v>33</v>
      </c>
      <c r="H114" s="2">
        <v>793.67</v>
      </c>
      <c r="I114" s="2">
        <v>1016.57</v>
      </c>
      <c r="J114" s="2">
        <v>26191.11</v>
      </c>
      <c r="K114" s="2">
        <v>33546.81</v>
      </c>
      <c r="L114" s="2">
        <v>7355.7</v>
      </c>
    </row>
    <row r="115" spans="1:12" x14ac:dyDescent="0.3">
      <c r="A115" s="6">
        <f ca="1">Table1[[#This Row],[Date]]*1</f>
        <v>45517</v>
      </c>
      <c r="B115" t="s">
        <v>39</v>
      </c>
      <c r="C115" t="s">
        <v>2</v>
      </c>
      <c r="D115" t="s">
        <v>14</v>
      </c>
      <c r="E115" t="s">
        <v>31</v>
      </c>
      <c r="F115" t="s">
        <v>32</v>
      </c>
      <c r="G115" s="2">
        <v>1</v>
      </c>
      <c r="H115" s="2">
        <v>536.26</v>
      </c>
      <c r="I115" s="2">
        <v>703.99</v>
      </c>
      <c r="J115" s="2">
        <v>536.26</v>
      </c>
      <c r="K115" s="2">
        <v>703.99</v>
      </c>
      <c r="L115" s="2">
        <v>167.73</v>
      </c>
    </row>
    <row r="116" spans="1:12" x14ac:dyDescent="0.3">
      <c r="A116" s="6">
        <f ca="1">Table1[[#This Row],[Date]]*1</f>
        <v>45573</v>
      </c>
      <c r="B116" t="s">
        <v>41</v>
      </c>
      <c r="C116" t="s">
        <v>6</v>
      </c>
      <c r="D116" t="s">
        <v>17</v>
      </c>
      <c r="E116" t="s">
        <v>35</v>
      </c>
      <c r="F116" t="s">
        <v>29</v>
      </c>
      <c r="G116" s="2">
        <v>32</v>
      </c>
      <c r="H116" s="2">
        <v>289.18</v>
      </c>
      <c r="I116" s="2">
        <v>365.84</v>
      </c>
      <c r="J116" s="2">
        <v>9253.76</v>
      </c>
      <c r="K116" s="2">
        <v>11706.88</v>
      </c>
      <c r="L116" s="2">
        <v>2453.12</v>
      </c>
    </row>
    <row r="117" spans="1:12" x14ac:dyDescent="0.3">
      <c r="A117" s="6">
        <f ca="1">Table1[[#This Row],[Date]]*1</f>
        <v>45467</v>
      </c>
      <c r="B117" t="s">
        <v>36</v>
      </c>
      <c r="C117" t="s">
        <v>8</v>
      </c>
      <c r="D117" t="s">
        <v>42</v>
      </c>
      <c r="E117" t="s">
        <v>40</v>
      </c>
      <c r="F117" t="s">
        <v>32</v>
      </c>
      <c r="G117" s="2">
        <v>26</v>
      </c>
      <c r="H117" s="2">
        <v>743.07</v>
      </c>
      <c r="I117" s="2">
        <v>1089.06</v>
      </c>
      <c r="J117" s="2">
        <v>19319.82</v>
      </c>
      <c r="K117" s="2">
        <v>28315.56</v>
      </c>
      <c r="L117" s="2">
        <v>8995.74</v>
      </c>
    </row>
    <row r="118" spans="1:12" x14ac:dyDescent="0.3">
      <c r="A118" s="6">
        <f ca="1">Table1[[#This Row],[Date]]*1</f>
        <v>45311</v>
      </c>
      <c r="B118" t="s">
        <v>41</v>
      </c>
      <c r="C118" t="s">
        <v>6</v>
      </c>
      <c r="D118" t="s">
        <v>7</v>
      </c>
      <c r="E118" t="s">
        <v>33</v>
      </c>
      <c r="F118" t="s">
        <v>32</v>
      </c>
      <c r="G118" s="2">
        <v>17</v>
      </c>
      <c r="H118" s="2">
        <v>63.15</v>
      </c>
      <c r="I118" s="2">
        <v>80.58</v>
      </c>
      <c r="J118" s="2">
        <v>1073.55</v>
      </c>
      <c r="K118" s="2">
        <v>1369.86</v>
      </c>
      <c r="L118" s="2">
        <v>296.31</v>
      </c>
    </row>
    <row r="119" spans="1:12" x14ac:dyDescent="0.3">
      <c r="A119" s="6">
        <f ca="1">Table1[[#This Row],[Date]]*1</f>
        <v>45318</v>
      </c>
      <c r="B119" t="s">
        <v>36</v>
      </c>
      <c r="C119" t="s">
        <v>6</v>
      </c>
      <c r="D119" t="s">
        <v>7</v>
      </c>
      <c r="E119" t="s">
        <v>43</v>
      </c>
      <c r="F119" t="s">
        <v>32</v>
      </c>
      <c r="G119" s="2">
        <v>3</v>
      </c>
      <c r="H119" s="2">
        <v>676.69</v>
      </c>
      <c r="I119" s="2">
        <v>748.48</v>
      </c>
      <c r="J119" s="2">
        <v>2030.07</v>
      </c>
      <c r="K119" s="2">
        <v>2245.44</v>
      </c>
      <c r="L119" s="2">
        <v>215.37</v>
      </c>
    </row>
    <row r="120" spans="1:12" x14ac:dyDescent="0.3">
      <c r="A120" s="6">
        <f ca="1">Table1[[#This Row],[Date]]*1</f>
        <v>45340</v>
      </c>
      <c r="B120" t="s">
        <v>34</v>
      </c>
      <c r="C120" t="s">
        <v>8</v>
      </c>
      <c r="D120" t="s">
        <v>16</v>
      </c>
      <c r="E120" t="s">
        <v>4</v>
      </c>
      <c r="F120" t="s">
        <v>32</v>
      </c>
      <c r="G120" s="2">
        <v>42</v>
      </c>
      <c r="H120" s="2">
        <v>550.05999999999995</v>
      </c>
      <c r="I120" s="2">
        <v>713.94</v>
      </c>
      <c r="J120" s="2">
        <v>23102.52</v>
      </c>
      <c r="K120" s="2">
        <v>29985.48</v>
      </c>
      <c r="L120" s="2">
        <v>6882.96</v>
      </c>
    </row>
    <row r="121" spans="1:12" x14ac:dyDescent="0.3">
      <c r="A121" s="6">
        <f ca="1">Table1[[#This Row],[Date]]*1</f>
        <v>45527</v>
      </c>
      <c r="B121" t="s">
        <v>34</v>
      </c>
      <c r="C121" t="s">
        <v>8</v>
      </c>
      <c r="D121" t="s">
        <v>16</v>
      </c>
      <c r="E121" t="s">
        <v>43</v>
      </c>
      <c r="F121" t="s">
        <v>29</v>
      </c>
      <c r="G121" s="2">
        <v>6</v>
      </c>
      <c r="H121" s="2">
        <v>997.73</v>
      </c>
      <c r="I121" s="2">
        <v>1257.28</v>
      </c>
      <c r="J121" s="2">
        <v>5986.38</v>
      </c>
      <c r="K121" s="2">
        <v>7543.68</v>
      </c>
      <c r="L121" s="2">
        <v>1557.3</v>
      </c>
    </row>
    <row r="122" spans="1:12" x14ac:dyDescent="0.3">
      <c r="A122" s="6">
        <f ca="1">Table1[[#This Row],[Date]]*1</f>
        <v>45610</v>
      </c>
      <c r="B122" t="s">
        <v>38</v>
      </c>
      <c r="C122" t="s">
        <v>6</v>
      </c>
      <c r="D122" t="s">
        <v>10</v>
      </c>
      <c r="E122" t="s">
        <v>4</v>
      </c>
      <c r="F122" t="s">
        <v>29</v>
      </c>
      <c r="G122" s="2">
        <v>20</v>
      </c>
      <c r="H122" s="2">
        <v>282.89999999999998</v>
      </c>
      <c r="I122" s="2">
        <v>379.84</v>
      </c>
      <c r="J122" s="2">
        <v>5658</v>
      </c>
      <c r="K122" s="2">
        <v>7596.8</v>
      </c>
      <c r="L122" s="2">
        <v>1938.8</v>
      </c>
    </row>
    <row r="123" spans="1:12" x14ac:dyDescent="0.3">
      <c r="A123" s="6">
        <f ca="1">Table1[[#This Row],[Date]]*1</f>
        <v>45595</v>
      </c>
      <c r="B123" t="s">
        <v>44</v>
      </c>
      <c r="C123" t="s">
        <v>6</v>
      </c>
      <c r="D123" t="s">
        <v>17</v>
      </c>
      <c r="E123" t="s">
        <v>4</v>
      </c>
      <c r="F123" t="s">
        <v>29</v>
      </c>
      <c r="G123" s="2">
        <v>49</v>
      </c>
      <c r="H123" s="2">
        <v>961.36</v>
      </c>
      <c r="I123" s="2">
        <v>1059.9100000000001</v>
      </c>
      <c r="J123" s="2">
        <v>47106.64</v>
      </c>
      <c r="K123" s="2">
        <v>51935.59</v>
      </c>
      <c r="L123" s="2">
        <v>4828.95</v>
      </c>
    </row>
    <row r="124" spans="1:12" x14ac:dyDescent="0.3">
      <c r="A124" s="6">
        <f ca="1">Table1[[#This Row],[Date]]*1</f>
        <v>45300</v>
      </c>
      <c r="B124" t="s">
        <v>28</v>
      </c>
      <c r="C124" t="s">
        <v>6</v>
      </c>
      <c r="D124" t="s">
        <v>10</v>
      </c>
      <c r="E124" t="s">
        <v>31</v>
      </c>
      <c r="F124" t="s">
        <v>32</v>
      </c>
      <c r="G124" s="2">
        <v>45</v>
      </c>
      <c r="H124" s="2">
        <v>451.89</v>
      </c>
      <c r="I124" s="2">
        <v>569.20000000000005</v>
      </c>
      <c r="J124" s="2">
        <v>20335.05</v>
      </c>
      <c r="K124" s="2">
        <v>25614</v>
      </c>
      <c r="L124" s="2">
        <v>5278.95</v>
      </c>
    </row>
    <row r="125" spans="1:12" x14ac:dyDescent="0.3">
      <c r="A125" s="6">
        <f ca="1">Table1[[#This Row],[Date]]*1</f>
        <v>45371</v>
      </c>
      <c r="B125" t="s">
        <v>28</v>
      </c>
      <c r="C125" t="s">
        <v>11</v>
      </c>
      <c r="D125" t="s">
        <v>15</v>
      </c>
      <c r="E125" t="s">
        <v>40</v>
      </c>
      <c r="F125" t="s">
        <v>29</v>
      </c>
      <c r="G125" s="2">
        <v>36</v>
      </c>
      <c r="H125" s="2">
        <v>397.03</v>
      </c>
      <c r="I125" s="2">
        <v>496.25</v>
      </c>
      <c r="J125" s="2">
        <v>14293.08</v>
      </c>
      <c r="K125" s="2">
        <v>17865</v>
      </c>
      <c r="L125" s="2">
        <v>3571.92</v>
      </c>
    </row>
    <row r="126" spans="1:12" x14ac:dyDescent="0.3">
      <c r="A126" s="6">
        <f ca="1">Table1[[#This Row],[Date]]*1</f>
        <v>45437</v>
      </c>
      <c r="B126" t="s">
        <v>45</v>
      </c>
      <c r="C126" t="s">
        <v>6</v>
      </c>
      <c r="D126" t="s">
        <v>17</v>
      </c>
      <c r="E126" t="s">
        <v>33</v>
      </c>
      <c r="F126" t="s">
        <v>32</v>
      </c>
      <c r="G126" s="2">
        <v>14</v>
      </c>
      <c r="H126" s="2">
        <v>530.64</v>
      </c>
      <c r="I126" s="2">
        <v>638.70000000000005</v>
      </c>
      <c r="J126" s="2">
        <v>7428.96</v>
      </c>
      <c r="K126" s="2">
        <v>8941.7999999999993</v>
      </c>
      <c r="L126" s="2">
        <v>1512.84</v>
      </c>
    </row>
    <row r="127" spans="1:12" x14ac:dyDescent="0.3">
      <c r="A127" s="6">
        <f ca="1">Table1[[#This Row],[Date]]*1</f>
        <v>45358</v>
      </c>
      <c r="B127" t="s">
        <v>34</v>
      </c>
      <c r="C127" t="s">
        <v>11</v>
      </c>
      <c r="D127" t="s">
        <v>12</v>
      </c>
      <c r="E127" t="s">
        <v>31</v>
      </c>
      <c r="F127" t="s">
        <v>32</v>
      </c>
      <c r="G127" s="2">
        <v>48</v>
      </c>
      <c r="H127" s="2">
        <v>942.25</v>
      </c>
      <c r="I127" s="2">
        <v>1380.63</v>
      </c>
      <c r="J127" s="2">
        <v>45228</v>
      </c>
      <c r="K127" s="2">
        <v>66270.240000000005</v>
      </c>
      <c r="L127" s="2">
        <v>21042.240000000002</v>
      </c>
    </row>
    <row r="128" spans="1:12" x14ac:dyDescent="0.3">
      <c r="A128" s="6">
        <f ca="1">Table1[[#This Row],[Date]]*1</f>
        <v>45461</v>
      </c>
      <c r="B128" t="s">
        <v>44</v>
      </c>
      <c r="C128" t="s">
        <v>6</v>
      </c>
      <c r="D128" t="s">
        <v>10</v>
      </c>
      <c r="E128" t="s">
        <v>35</v>
      </c>
      <c r="F128" t="s">
        <v>29</v>
      </c>
      <c r="G128" s="2">
        <v>25</v>
      </c>
      <c r="H128" s="2">
        <v>592.92999999999995</v>
      </c>
      <c r="I128" s="2">
        <v>790.8</v>
      </c>
      <c r="J128" s="2">
        <v>14823.25</v>
      </c>
      <c r="K128" s="2">
        <v>19770</v>
      </c>
      <c r="L128" s="2">
        <v>4946.75</v>
      </c>
    </row>
    <row r="129" spans="1:12" x14ac:dyDescent="0.3">
      <c r="A129" s="6">
        <f ca="1">Table1[[#This Row],[Date]]*1</f>
        <v>45489</v>
      </c>
      <c r="B129" t="s">
        <v>30</v>
      </c>
      <c r="C129" t="s">
        <v>2</v>
      </c>
      <c r="D129" t="s">
        <v>14</v>
      </c>
      <c r="E129" t="s">
        <v>33</v>
      </c>
      <c r="F129" t="s">
        <v>29</v>
      </c>
      <c r="G129" s="2">
        <v>50</v>
      </c>
      <c r="H129" s="2">
        <v>390.82</v>
      </c>
      <c r="I129" s="2">
        <v>545.91</v>
      </c>
      <c r="J129" s="2">
        <v>19541</v>
      </c>
      <c r="K129" s="2">
        <v>27295.5</v>
      </c>
      <c r="L129" s="2">
        <v>7754.5</v>
      </c>
    </row>
    <row r="130" spans="1:12" x14ac:dyDescent="0.3">
      <c r="A130" s="6">
        <f ca="1">Table1[[#This Row],[Date]]*1</f>
        <v>45463</v>
      </c>
      <c r="B130" t="s">
        <v>34</v>
      </c>
      <c r="C130" t="s">
        <v>11</v>
      </c>
      <c r="D130" t="s">
        <v>13</v>
      </c>
      <c r="E130" t="s">
        <v>31</v>
      </c>
      <c r="F130" t="s">
        <v>32</v>
      </c>
      <c r="G130" s="2">
        <v>33</v>
      </c>
      <c r="H130" s="2">
        <v>318.41000000000003</v>
      </c>
      <c r="I130" s="2">
        <v>356.47</v>
      </c>
      <c r="J130" s="2">
        <v>10507.53</v>
      </c>
      <c r="K130" s="2">
        <v>11763.51</v>
      </c>
      <c r="L130" s="2">
        <v>1255.98</v>
      </c>
    </row>
    <row r="131" spans="1:12" x14ac:dyDescent="0.3">
      <c r="A131" s="6">
        <f ca="1">Table1[[#This Row],[Date]]*1</f>
        <v>45591</v>
      </c>
      <c r="B131" t="s">
        <v>30</v>
      </c>
      <c r="C131" t="s">
        <v>8</v>
      </c>
      <c r="D131" t="s">
        <v>9</v>
      </c>
      <c r="E131" t="s">
        <v>4</v>
      </c>
      <c r="F131" t="s">
        <v>32</v>
      </c>
      <c r="G131" s="2">
        <v>24</v>
      </c>
      <c r="H131" s="2">
        <v>531.66999999999996</v>
      </c>
      <c r="I131" s="2">
        <v>652.75</v>
      </c>
      <c r="J131" s="2">
        <v>12760.08</v>
      </c>
      <c r="K131" s="2">
        <v>15666</v>
      </c>
      <c r="L131" s="2">
        <v>2905.92</v>
      </c>
    </row>
    <row r="132" spans="1:12" x14ac:dyDescent="0.3">
      <c r="A132" s="6">
        <f ca="1">Table1[[#This Row],[Date]]*1</f>
        <v>45488</v>
      </c>
      <c r="B132" t="s">
        <v>28</v>
      </c>
      <c r="C132" t="s">
        <v>2</v>
      </c>
      <c r="D132" t="s">
        <v>3</v>
      </c>
      <c r="E132" t="s">
        <v>43</v>
      </c>
      <c r="F132" t="s">
        <v>29</v>
      </c>
      <c r="G132" s="2">
        <v>9</v>
      </c>
      <c r="H132" s="2">
        <v>612.91</v>
      </c>
      <c r="I132" s="2">
        <v>913.73</v>
      </c>
      <c r="J132" s="2">
        <v>5516.19</v>
      </c>
      <c r="K132" s="2">
        <v>8223.57</v>
      </c>
      <c r="L132" s="2">
        <v>2707.38</v>
      </c>
    </row>
    <row r="133" spans="1:12" x14ac:dyDescent="0.3">
      <c r="A133" s="6">
        <f ca="1">Table1[[#This Row],[Date]]*1</f>
        <v>45657</v>
      </c>
      <c r="B133" t="s">
        <v>30</v>
      </c>
      <c r="C133" t="s">
        <v>6</v>
      </c>
      <c r="D133" t="s">
        <v>10</v>
      </c>
      <c r="E133" t="s">
        <v>31</v>
      </c>
      <c r="F133" t="s">
        <v>29</v>
      </c>
      <c r="G133" s="2">
        <v>9</v>
      </c>
      <c r="H133" s="2">
        <v>877.82</v>
      </c>
      <c r="I133" s="2">
        <v>1147.58</v>
      </c>
      <c r="J133" s="2">
        <v>7900.38</v>
      </c>
      <c r="K133" s="2">
        <v>10328.219999999999</v>
      </c>
      <c r="L133" s="2">
        <v>2427.84</v>
      </c>
    </row>
    <row r="134" spans="1:12" x14ac:dyDescent="0.3">
      <c r="A134" s="6">
        <f ca="1">Table1[[#This Row],[Date]]*1</f>
        <v>45462</v>
      </c>
      <c r="B134" t="s">
        <v>30</v>
      </c>
      <c r="C134" t="s">
        <v>2</v>
      </c>
      <c r="D134" t="s">
        <v>14</v>
      </c>
      <c r="E134" t="s">
        <v>31</v>
      </c>
      <c r="F134" t="s">
        <v>32</v>
      </c>
      <c r="G134" s="2">
        <v>7</v>
      </c>
      <c r="H134" s="2">
        <v>337.17</v>
      </c>
      <c r="I134" s="2">
        <v>425.3</v>
      </c>
      <c r="J134" s="2">
        <v>2360.19</v>
      </c>
      <c r="K134" s="2">
        <v>2977.1</v>
      </c>
      <c r="L134" s="2">
        <v>616.91</v>
      </c>
    </row>
    <row r="135" spans="1:12" x14ac:dyDescent="0.3">
      <c r="A135" s="6">
        <f ca="1">Table1[[#This Row],[Date]]*1</f>
        <v>45432</v>
      </c>
      <c r="B135" t="s">
        <v>45</v>
      </c>
      <c r="C135" t="s">
        <v>11</v>
      </c>
      <c r="D135" t="s">
        <v>13</v>
      </c>
      <c r="E135" t="s">
        <v>33</v>
      </c>
      <c r="F135" t="s">
        <v>32</v>
      </c>
      <c r="G135" s="2">
        <v>8</v>
      </c>
      <c r="H135" s="2">
        <v>495</v>
      </c>
      <c r="I135" s="2">
        <v>715</v>
      </c>
      <c r="J135" s="2">
        <v>3960</v>
      </c>
      <c r="K135" s="2">
        <v>5720</v>
      </c>
      <c r="L135" s="2">
        <v>1760</v>
      </c>
    </row>
    <row r="136" spans="1:12" x14ac:dyDescent="0.3">
      <c r="A136" s="6">
        <f ca="1">Table1[[#This Row],[Date]]*1</f>
        <v>45655</v>
      </c>
      <c r="B136" t="s">
        <v>41</v>
      </c>
      <c r="C136" t="s">
        <v>6</v>
      </c>
      <c r="D136" t="s">
        <v>7</v>
      </c>
      <c r="E136" t="s">
        <v>31</v>
      </c>
      <c r="F136" t="s">
        <v>29</v>
      </c>
      <c r="G136" s="2">
        <v>21</v>
      </c>
      <c r="H136" s="2">
        <v>359.79</v>
      </c>
      <c r="I136" s="2">
        <v>519.9</v>
      </c>
      <c r="J136" s="2">
        <v>7555.59</v>
      </c>
      <c r="K136" s="2">
        <v>10917.9</v>
      </c>
      <c r="L136" s="2">
        <v>3362.31</v>
      </c>
    </row>
    <row r="137" spans="1:12" x14ac:dyDescent="0.3">
      <c r="A137" s="6">
        <f ca="1">Table1[[#This Row],[Date]]*1</f>
        <v>45388</v>
      </c>
      <c r="B137" t="s">
        <v>38</v>
      </c>
      <c r="C137" t="s">
        <v>8</v>
      </c>
      <c r="D137" t="s">
        <v>16</v>
      </c>
      <c r="E137" t="s">
        <v>31</v>
      </c>
      <c r="F137" t="s">
        <v>32</v>
      </c>
      <c r="G137" s="2">
        <v>34</v>
      </c>
      <c r="H137" s="2">
        <v>325.17</v>
      </c>
      <c r="I137" s="2">
        <v>425.23</v>
      </c>
      <c r="J137" s="2">
        <v>11055.78</v>
      </c>
      <c r="K137" s="2">
        <v>14457.82</v>
      </c>
      <c r="L137" s="2">
        <v>3402.04</v>
      </c>
    </row>
    <row r="138" spans="1:12" x14ac:dyDescent="0.3">
      <c r="A138" s="6">
        <f ca="1">Table1[[#This Row],[Date]]*1</f>
        <v>45325</v>
      </c>
      <c r="B138" t="s">
        <v>30</v>
      </c>
      <c r="C138" t="s">
        <v>2</v>
      </c>
      <c r="D138" t="s">
        <v>14</v>
      </c>
      <c r="E138" t="s">
        <v>33</v>
      </c>
      <c r="F138" t="s">
        <v>29</v>
      </c>
      <c r="G138" s="2">
        <v>11</v>
      </c>
      <c r="H138" s="2">
        <v>454.07</v>
      </c>
      <c r="I138" s="2">
        <v>514.94000000000005</v>
      </c>
      <c r="J138" s="2">
        <v>4994.7700000000004</v>
      </c>
      <c r="K138" s="2">
        <v>5664.34</v>
      </c>
      <c r="L138" s="2">
        <v>669.57</v>
      </c>
    </row>
    <row r="139" spans="1:12" x14ac:dyDescent="0.3">
      <c r="A139" s="6">
        <f ca="1">Table1[[#This Row],[Date]]*1</f>
        <v>45467</v>
      </c>
      <c r="B139" t="s">
        <v>38</v>
      </c>
      <c r="C139" t="s">
        <v>6</v>
      </c>
      <c r="D139" t="s">
        <v>17</v>
      </c>
      <c r="E139" t="s">
        <v>33</v>
      </c>
      <c r="F139" t="s">
        <v>32</v>
      </c>
      <c r="G139" s="2">
        <v>13</v>
      </c>
      <c r="H139" s="2">
        <v>199.66</v>
      </c>
      <c r="I139" s="2">
        <v>226.15</v>
      </c>
      <c r="J139" s="2">
        <v>2595.58</v>
      </c>
      <c r="K139" s="2">
        <v>2939.95</v>
      </c>
      <c r="L139" s="2">
        <v>344.37</v>
      </c>
    </row>
    <row r="140" spans="1:12" x14ac:dyDescent="0.3">
      <c r="A140" s="6">
        <f ca="1">Table1[[#This Row],[Date]]*1</f>
        <v>45484</v>
      </c>
      <c r="B140" t="s">
        <v>41</v>
      </c>
      <c r="C140" t="s">
        <v>6</v>
      </c>
      <c r="D140" t="s">
        <v>10</v>
      </c>
      <c r="E140" t="s">
        <v>43</v>
      </c>
      <c r="F140" t="s">
        <v>32</v>
      </c>
      <c r="G140" s="2">
        <v>9</v>
      </c>
      <c r="H140" s="2">
        <v>245.96</v>
      </c>
      <c r="I140" s="2">
        <v>329.75</v>
      </c>
      <c r="J140" s="2">
        <v>2213.64</v>
      </c>
      <c r="K140" s="2">
        <v>2967.75</v>
      </c>
      <c r="L140" s="2">
        <v>754.11</v>
      </c>
    </row>
    <row r="141" spans="1:12" x14ac:dyDescent="0.3">
      <c r="A141" s="6">
        <f ca="1">Table1[[#This Row],[Date]]*1</f>
        <v>45626</v>
      </c>
      <c r="B141" t="s">
        <v>34</v>
      </c>
      <c r="C141" t="s">
        <v>11</v>
      </c>
      <c r="D141" t="s">
        <v>13</v>
      </c>
      <c r="E141" t="s">
        <v>33</v>
      </c>
      <c r="F141" t="s">
        <v>29</v>
      </c>
      <c r="G141" s="2">
        <v>41</v>
      </c>
      <c r="H141" s="2">
        <v>335.24</v>
      </c>
      <c r="I141" s="2">
        <v>454.74</v>
      </c>
      <c r="J141" s="2">
        <v>13744.84</v>
      </c>
      <c r="K141" s="2">
        <v>18644.34</v>
      </c>
      <c r="L141" s="2">
        <v>4899.5</v>
      </c>
    </row>
    <row r="142" spans="1:12" x14ac:dyDescent="0.3">
      <c r="A142" s="6">
        <f ca="1">Table1[[#This Row],[Date]]*1</f>
        <v>45418</v>
      </c>
      <c r="B142" t="s">
        <v>41</v>
      </c>
      <c r="C142" t="s">
        <v>8</v>
      </c>
      <c r="D142" t="s">
        <v>42</v>
      </c>
      <c r="E142" t="s">
        <v>35</v>
      </c>
      <c r="F142" t="s">
        <v>32</v>
      </c>
      <c r="G142" s="2">
        <v>40</v>
      </c>
      <c r="H142" s="2">
        <v>62.97</v>
      </c>
      <c r="I142" s="2">
        <v>90.26</v>
      </c>
      <c r="J142" s="2">
        <v>2518.8000000000002</v>
      </c>
      <c r="K142" s="2">
        <v>3610.4</v>
      </c>
      <c r="L142" s="2">
        <v>1091.5999999999999</v>
      </c>
    </row>
    <row r="143" spans="1:12" x14ac:dyDescent="0.3">
      <c r="A143" s="6">
        <f ca="1">Table1[[#This Row],[Date]]*1</f>
        <v>45507</v>
      </c>
      <c r="B143" t="s">
        <v>36</v>
      </c>
      <c r="C143" t="s">
        <v>2</v>
      </c>
      <c r="D143" t="s">
        <v>3</v>
      </c>
      <c r="E143" t="s">
        <v>40</v>
      </c>
      <c r="F143" t="s">
        <v>32</v>
      </c>
      <c r="G143" s="2">
        <v>48</v>
      </c>
      <c r="H143" s="2">
        <v>434.06</v>
      </c>
      <c r="I143" s="2">
        <v>612.16999999999996</v>
      </c>
      <c r="J143" s="2">
        <v>20834.88</v>
      </c>
      <c r="K143" s="2">
        <v>29384.16</v>
      </c>
      <c r="L143" s="2">
        <v>8549.2800000000007</v>
      </c>
    </row>
    <row r="144" spans="1:12" x14ac:dyDescent="0.3">
      <c r="A144" s="6">
        <f ca="1">Table1[[#This Row],[Date]]*1</f>
        <v>45529</v>
      </c>
      <c r="B144" t="s">
        <v>39</v>
      </c>
      <c r="C144" t="s">
        <v>11</v>
      </c>
      <c r="D144" t="s">
        <v>13</v>
      </c>
      <c r="E144" t="s">
        <v>43</v>
      </c>
      <c r="F144" t="s">
        <v>29</v>
      </c>
      <c r="G144" s="2">
        <v>17</v>
      </c>
      <c r="H144" s="2">
        <v>204.05</v>
      </c>
      <c r="I144" s="2">
        <v>271.10000000000002</v>
      </c>
      <c r="J144" s="2">
        <v>3468.85</v>
      </c>
      <c r="K144" s="2">
        <v>4608.7</v>
      </c>
      <c r="L144" s="2">
        <v>1139.8499999999999</v>
      </c>
    </row>
    <row r="145" spans="1:12" x14ac:dyDescent="0.3">
      <c r="A145" s="6">
        <f ca="1">Table1[[#This Row],[Date]]*1</f>
        <v>45636</v>
      </c>
      <c r="B145" t="s">
        <v>44</v>
      </c>
      <c r="C145" t="s">
        <v>8</v>
      </c>
      <c r="D145" t="s">
        <v>42</v>
      </c>
      <c r="E145" t="s">
        <v>31</v>
      </c>
      <c r="F145" t="s">
        <v>29</v>
      </c>
      <c r="G145" s="2">
        <v>1</v>
      </c>
      <c r="H145" s="2">
        <v>499.8</v>
      </c>
      <c r="I145" s="2">
        <v>659.97</v>
      </c>
      <c r="J145" s="2">
        <v>499.8</v>
      </c>
      <c r="K145" s="2">
        <v>659.97</v>
      </c>
      <c r="L145" s="2">
        <v>160.16999999999999</v>
      </c>
    </row>
    <row r="146" spans="1:12" x14ac:dyDescent="0.3">
      <c r="A146" s="6">
        <f ca="1">Table1[[#This Row],[Date]]*1</f>
        <v>45449</v>
      </c>
      <c r="B146" t="s">
        <v>28</v>
      </c>
      <c r="C146" t="s">
        <v>11</v>
      </c>
      <c r="D146" t="s">
        <v>15</v>
      </c>
      <c r="E146" t="s">
        <v>4</v>
      </c>
      <c r="F146" t="s">
        <v>32</v>
      </c>
      <c r="G146" s="2">
        <v>38</v>
      </c>
      <c r="H146" s="2">
        <v>601.29</v>
      </c>
      <c r="I146" s="2">
        <v>711.1</v>
      </c>
      <c r="J146" s="2">
        <v>22849.02</v>
      </c>
      <c r="K146" s="2">
        <v>27021.8</v>
      </c>
      <c r="L146" s="2">
        <v>4172.78</v>
      </c>
    </row>
    <row r="147" spans="1:12" x14ac:dyDescent="0.3">
      <c r="A147" s="6">
        <f ca="1">Table1[[#This Row],[Date]]*1</f>
        <v>45634</v>
      </c>
      <c r="B147" t="s">
        <v>36</v>
      </c>
      <c r="C147" t="s">
        <v>11</v>
      </c>
      <c r="D147" t="s">
        <v>15</v>
      </c>
      <c r="E147" t="s">
        <v>4</v>
      </c>
      <c r="F147" t="s">
        <v>29</v>
      </c>
      <c r="G147" s="2">
        <v>27</v>
      </c>
      <c r="H147" s="2">
        <v>380.87</v>
      </c>
      <c r="I147" s="2">
        <v>555.59</v>
      </c>
      <c r="J147" s="2">
        <v>10283.49</v>
      </c>
      <c r="K147" s="2">
        <v>15000.93</v>
      </c>
      <c r="L147" s="2">
        <v>4717.4399999999996</v>
      </c>
    </row>
    <row r="148" spans="1:12" x14ac:dyDescent="0.3">
      <c r="A148" s="6">
        <f ca="1">Table1[[#This Row],[Date]]*1</f>
        <v>45589</v>
      </c>
      <c r="B148" t="s">
        <v>34</v>
      </c>
      <c r="C148" t="s">
        <v>6</v>
      </c>
      <c r="D148" t="s">
        <v>17</v>
      </c>
      <c r="E148" t="s">
        <v>33</v>
      </c>
      <c r="F148" t="s">
        <v>29</v>
      </c>
      <c r="G148" s="2">
        <v>23</v>
      </c>
      <c r="H148" s="2">
        <v>530.52</v>
      </c>
      <c r="I148" s="2">
        <v>620.73</v>
      </c>
      <c r="J148" s="2">
        <v>12201.96</v>
      </c>
      <c r="K148" s="2">
        <v>14276.79</v>
      </c>
      <c r="L148" s="2">
        <v>2074.83</v>
      </c>
    </row>
    <row r="149" spans="1:12" x14ac:dyDescent="0.3">
      <c r="A149" s="6">
        <f ca="1">Table1[[#This Row],[Date]]*1</f>
        <v>45338</v>
      </c>
      <c r="B149" t="s">
        <v>38</v>
      </c>
      <c r="C149" t="s">
        <v>11</v>
      </c>
      <c r="D149" t="s">
        <v>12</v>
      </c>
      <c r="E149" t="s">
        <v>33</v>
      </c>
      <c r="F149" t="s">
        <v>29</v>
      </c>
      <c r="G149" s="2">
        <v>8</v>
      </c>
      <c r="H149" s="2">
        <v>796.39</v>
      </c>
      <c r="I149" s="2">
        <v>882.16</v>
      </c>
      <c r="J149" s="2">
        <v>6371.12</v>
      </c>
      <c r="K149" s="2">
        <v>7057.28</v>
      </c>
      <c r="L149" s="2">
        <v>686.16</v>
      </c>
    </row>
    <row r="150" spans="1:12" x14ac:dyDescent="0.3">
      <c r="A150" s="6">
        <f ca="1">Table1[[#This Row],[Date]]*1</f>
        <v>45643</v>
      </c>
      <c r="B150" t="s">
        <v>39</v>
      </c>
      <c r="C150" t="s">
        <v>11</v>
      </c>
      <c r="D150" t="s">
        <v>15</v>
      </c>
      <c r="E150" t="s">
        <v>43</v>
      </c>
      <c r="F150" t="s">
        <v>29</v>
      </c>
      <c r="G150" s="2">
        <v>32</v>
      </c>
      <c r="H150" s="2">
        <v>431.41</v>
      </c>
      <c r="I150" s="2">
        <v>539.49</v>
      </c>
      <c r="J150" s="2">
        <v>13805.12</v>
      </c>
      <c r="K150" s="2">
        <v>17263.68</v>
      </c>
      <c r="L150" s="2">
        <v>3458.56</v>
      </c>
    </row>
    <row r="151" spans="1:12" x14ac:dyDescent="0.3">
      <c r="A151" s="6">
        <f ca="1">Table1[[#This Row],[Date]]*1</f>
        <v>45594</v>
      </c>
      <c r="B151" t="s">
        <v>30</v>
      </c>
      <c r="C151" t="s">
        <v>8</v>
      </c>
      <c r="D151" t="s">
        <v>9</v>
      </c>
      <c r="E151" t="s">
        <v>40</v>
      </c>
      <c r="F151" t="s">
        <v>29</v>
      </c>
      <c r="G151" s="2">
        <v>21</v>
      </c>
      <c r="H151" s="2">
        <v>354.51</v>
      </c>
      <c r="I151" s="2">
        <v>521.19000000000005</v>
      </c>
      <c r="J151" s="2">
        <v>7444.71</v>
      </c>
      <c r="K151" s="2">
        <v>10944.99</v>
      </c>
      <c r="L151" s="2">
        <v>3500.28</v>
      </c>
    </row>
    <row r="152" spans="1:12" x14ac:dyDescent="0.3">
      <c r="A152" s="6">
        <f ca="1">Table1[[#This Row],[Date]]*1</f>
        <v>45427</v>
      </c>
      <c r="B152" t="s">
        <v>39</v>
      </c>
      <c r="C152" t="s">
        <v>8</v>
      </c>
      <c r="D152" t="s">
        <v>16</v>
      </c>
      <c r="E152" t="s">
        <v>33</v>
      </c>
      <c r="F152" t="s">
        <v>32</v>
      </c>
      <c r="G152" s="2">
        <v>38</v>
      </c>
      <c r="H152" s="2">
        <v>348.62</v>
      </c>
      <c r="I152" s="2">
        <v>490.68</v>
      </c>
      <c r="J152" s="2">
        <v>13247.56</v>
      </c>
      <c r="K152" s="2">
        <v>18645.84</v>
      </c>
      <c r="L152" s="2">
        <v>5398.28</v>
      </c>
    </row>
    <row r="153" spans="1:12" x14ac:dyDescent="0.3">
      <c r="A153" s="6">
        <f ca="1">Table1[[#This Row],[Date]]*1</f>
        <v>45541</v>
      </c>
      <c r="B153" t="s">
        <v>38</v>
      </c>
      <c r="C153" t="s">
        <v>2</v>
      </c>
      <c r="D153" t="s">
        <v>3</v>
      </c>
      <c r="E153" t="s">
        <v>43</v>
      </c>
      <c r="F153" t="s">
        <v>32</v>
      </c>
      <c r="G153" s="2">
        <v>49</v>
      </c>
      <c r="H153" s="2">
        <v>840.51</v>
      </c>
      <c r="I153" s="2">
        <v>1247.29</v>
      </c>
      <c r="J153" s="2">
        <v>41184.99</v>
      </c>
      <c r="K153" s="2">
        <v>61117.21</v>
      </c>
      <c r="L153" s="2">
        <v>19932.22</v>
      </c>
    </row>
    <row r="154" spans="1:12" x14ac:dyDescent="0.3">
      <c r="A154" s="6">
        <f ca="1">Table1[[#This Row],[Date]]*1</f>
        <v>45374</v>
      </c>
      <c r="B154" t="s">
        <v>45</v>
      </c>
      <c r="C154" t="s">
        <v>8</v>
      </c>
      <c r="D154" t="s">
        <v>9</v>
      </c>
      <c r="E154" t="s">
        <v>4</v>
      </c>
      <c r="F154" t="s">
        <v>32</v>
      </c>
      <c r="G154" s="2">
        <v>44</v>
      </c>
      <c r="H154" s="2">
        <v>294.74</v>
      </c>
      <c r="I154" s="2">
        <v>421.7</v>
      </c>
      <c r="J154" s="2">
        <v>12968.56</v>
      </c>
      <c r="K154" s="2">
        <v>18554.8</v>
      </c>
      <c r="L154" s="2">
        <v>5586.24</v>
      </c>
    </row>
    <row r="155" spans="1:12" x14ac:dyDescent="0.3">
      <c r="A155" s="6">
        <f ca="1">Table1[[#This Row],[Date]]*1</f>
        <v>45501</v>
      </c>
      <c r="B155" t="s">
        <v>30</v>
      </c>
      <c r="C155" t="s">
        <v>6</v>
      </c>
      <c r="D155" t="s">
        <v>17</v>
      </c>
      <c r="E155" t="s">
        <v>35</v>
      </c>
      <c r="F155" t="s">
        <v>32</v>
      </c>
      <c r="G155" s="2">
        <v>41</v>
      </c>
      <c r="H155" s="2">
        <v>500.25</v>
      </c>
      <c r="I155" s="2">
        <v>723.76</v>
      </c>
      <c r="J155" s="2">
        <v>20510.25</v>
      </c>
      <c r="K155" s="2">
        <v>29674.16</v>
      </c>
      <c r="L155" s="2">
        <v>9163.91</v>
      </c>
    </row>
    <row r="156" spans="1:12" x14ac:dyDescent="0.3">
      <c r="A156" s="6">
        <f ca="1">Table1[[#This Row],[Date]]*1</f>
        <v>45410</v>
      </c>
      <c r="B156" t="s">
        <v>44</v>
      </c>
      <c r="C156" t="s">
        <v>6</v>
      </c>
      <c r="D156" t="s">
        <v>10</v>
      </c>
      <c r="E156" t="s">
        <v>43</v>
      </c>
      <c r="F156" t="s">
        <v>29</v>
      </c>
      <c r="G156" s="2">
        <v>11</v>
      </c>
      <c r="H156" s="2">
        <v>876.64</v>
      </c>
      <c r="I156" s="2">
        <v>994.78</v>
      </c>
      <c r="J156" s="2">
        <v>9643.0400000000009</v>
      </c>
      <c r="K156" s="2">
        <v>10942.58</v>
      </c>
      <c r="L156" s="2">
        <v>1299.54</v>
      </c>
    </row>
    <row r="157" spans="1:12" x14ac:dyDescent="0.3">
      <c r="A157" s="6">
        <f ca="1">Table1[[#This Row],[Date]]*1</f>
        <v>45375</v>
      </c>
      <c r="B157" t="s">
        <v>41</v>
      </c>
      <c r="C157" t="s">
        <v>8</v>
      </c>
      <c r="D157" t="s">
        <v>9</v>
      </c>
      <c r="E157" t="s">
        <v>40</v>
      </c>
      <c r="F157" t="s">
        <v>32</v>
      </c>
      <c r="G157" s="2">
        <v>28</v>
      </c>
      <c r="H157" s="2">
        <v>764.67</v>
      </c>
      <c r="I157" s="2">
        <v>1088.8800000000001</v>
      </c>
      <c r="J157" s="2">
        <v>21410.76</v>
      </c>
      <c r="K157" s="2">
        <v>30488.639999999999</v>
      </c>
      <c r="L157" s="2">
        <v>9077.8799999999992</v>
      </c>
    </row>
    <row r="158" spans="1:12" x14ac:dyDescent="0.3">
      <c r="A158" s="6">
        <f ca="1">Table1[[#This Row],[Date]]*1</f>
        <v>45390</v>
      </c>
      <c r="B158" t="s">
        <v>28</v>
      </c>
      <c r="C158" t="s">
        <v>6</v>
      </c>
      <c r="D158" t="s">
        <v>17</v>
      </c>
      <c r="E158" t="s">
        <v>33</v>
      </c>
      <c r="F158" t="s">
        <v>29</v>
      </c>
      <c r="G158" s="2">
        <v>36</v>
      </c>
      <c r="H158" s="2">
        <v>342.34</v>
      </c>
      <c r="I158" s="2">
        <v>508.78</v>
      </c>
      <c r="J158" s="2">
        <v>12324.24</v>
      </c>
      <c r="K158" s="2">
        <v>18316.080000000002</v>
      </c>
      <c r="L158" s="2">
        <v>5991.84</v>
      </c>
    </row>
    <row r="159" spans="1:12" x14ac:dyDescent="0.3">
      <c r="A159" s="6">
        <f ca="1">Table1[[#This Row],[Date]]*1</f>
        <v>45506</v>
      </c>
      <c r="B159" t="s">
        <v>41</v>
      </c>
      <c r="C159" t="s">
        <v>11</v>
      </c>
      <c r="D159" t="s">
        <v>15</v>
      </c>
      <c r="E159" t="s">
        <v>31</v>
      </c>
      <c r="F159" t="s">
        <v>32</v>
      </c>
      <c r="G159" s="2">
        <v>23</v>
      </c>
      <c r="H159" s="2">
        <v>320</v>
      </c>
      <c r="I159" s="2">
        <v>415.55</v>
      </c>
      <c r="J159" s="2">
        <v>7360</v>
      </c>
      <c r="K159" s="2">
        <v>9557.65</v>
      </c>
      <c r="L159" s="2">
        <v>2197.65</v>
      </c>
    </row>
    <row r="160" spans="1:12" x14ac:dyDescent="0.3">
      <c r="A160" s="6">
        <f ca="1">Table1[[#This Row],[Date]]*1</f>
        <v>45574</v>
      </c>
      <c r="B160" t="s">
        <v>36</v>
      </c>
      <c r="C160" t="s">
        <v>8</v>
      </c>
      <c r="D160" t="s">
        <v>42</v>
      </c>
      <c r="E160" t="s">
        <v>43</v>
      </c>
      <c r="F160" t="s">
        <v>29</v>
      </c>
      <c r="G160" s="2">
        <v>14</v>
      </c>
      <c r="H160" s="2">
        <v>724.96</v>
      </c>
      <c r="I160" s="2">
        <v>1048.51</v>
      </c>
      <c r="J160" s="2">
        <v>10149.44</v>
      </c>
      <c r="K160" s="2">
        <v>14679.14</v>
      </c>
      <c r="L160" s="2">
        <v>4529.7</v>
      </c>
    </row>
    <row r="161" spans="1:12" x14ac:dyDescent="0.3">
      <c r="A161" s="6">
        <f ca="1">Table1[[#This Row],[Date]]*1</f>
        <v>45623</v>
      </c>
      <c r="B161" t="s">
        <v>34</v>
      </c>
      <c r="C161" t="s">
        <v>2</v>
      </c>
      <c r="D161" t="s">
        <v>14</v>
      </c>
      <c r="E161" t="s">
        <v>31</v>
      </c>
      <c r="F161" t="s">
        <v>29</v>
      </c>
      <c r="G161" s="2">
        <v>43</v>
      </c>
      <c r="H161" s="2">
        <v>708.16</v>
      </c>
      <c r="I161" s="2">
        <v>966.85</v>
      </c>
      <c r="J161" s="2">
        <v>30450.880000000001</v>
      </c>
      <c r="K161" s="2">
        <v>41574.550000000003</v>
      </c>
      <c r="L161" s="2">
        <v>11123.67</v>
      </c>
    </row>
    <row r="162" spans="1:12" x14ac:dyDescent="0.3">
      <c r="A162" s="6">
        <f ca="1">Table1[[#This Row],[Date]]*1</f>
        <v>45426</v>
      </c>
      <c r="B162" t="s">
        <v>28</v>
      </c>
      <c r="C162" t="s">
        <v>11</v>
      </c>
      <c r="D162" t="s">
        <v>12</v>
      </c>
      <c r="E162" t="s">
        <v>35</v>
      </c>
      <c r="F162" t="s">
        <v>32</v>
      </c>
      <c r="G162" s="2">
        <v>44</v>
      </c>
      <c r="H162" s="2">
        <v>169.94</v>
      </c>
      <c r="I162" s="2">
        <v>216.47</v>
      </c>
      <c r="J162" s="2">
        <v>7477.36</v>
      </c>
      <c r="K162" s="2">
        <v>9524.68</v>
      </c>
      <c r="L162" s="2">
        <v>2047.32</v>
      </c>
    </row>
    <row r="163" spans="1:12" x14ac:dyDescent="0.3">
      <c r="A163" s="6">
        <f ca="1">Table1[[#This Row],[Date]]*1</f>
        <v>45421</v>
      </c>
      <c r="B163" t="s">
        <v>28</v>
      </c>
      <c r="C163" t="s">
        <v>11</v>
      </c>
      <c r="D163" t="s">
        <v>12</v>
      </c>
      <c r="E163" t="s">
        <v>40</v>
      </c>
      <c r="F163" t="s">
        <v>29</v>
      </c>
      <c r="G163" s="2">
        <v>35</v>
      </c>
      <c r="H163" s="2">
        <v>692.07</v>
      </c>
      <c r="I163" s="2">
        <v>946.66</v>
      </c>
      <c r="J163" s="2">
        <v>24222.45</v>
      </c>
      <c r="K163" s="2">
        <v>33133.1</v>
      </c>
      <c r="L163" s="2">
        <v>8910.65</v>
      </c>
    </row>
    <row r="164" spans="1:12" x14ac:dyDescent="0.3">
      <c r="A164" s="6">
        <f ca="1">Table1[[#This Row],[Date]]*1</f>
        <v>45548</v>
      </c>
      <c r="B164" t="s">
        <v>28</v>
      </c>
      <c r="C164" t="s">
        <v>8</v>
      </c>
      <c r="D164" t="s">
        <v>16</v>
      </c>
      <c r="E164" t="s">
        <v>31</v>
      </c>
      <c r="F164" t="s">
        <v>32</v>
      </c>
      <c r="G164" s="2">
        <v>45</v>
      </c>
      <c r="H164" s="2">
        <v>259.43</v>
      </c>
      <c r="I164" s="2">
        <v>352.7</v>
      </c>
      <c r="J164" s="2">
        <v>11674.35</v>
      </c>
      <c r="K164" s="2">
        <v>15871.5</v>
      </c>
      <c r="L164" s="2">
        <v>4197.1499999999996</v>
      </c>
    </row>
    <row r="165" spans="1:12" x14ac:dyDescent="0.3">
      <c r="A165" s="6">
        <f ca="1">Table1[[#This Row],[Date]]*1</f>
        <v>45413</v>
      </c>
      <c r="B165" t="s">
        <v>38</v>
      </c>
      <c r="C165" t="s">
        <v>8</v>
      </c>
      <c r="D165" t="s">
        <v>16</v>
      </c>
      <c r="E165" t="s">
        <v>40</v>
      </c>
      <c r="F165" t="s">
        <v>32</v>
      </c>
      <c r="G165" s="2">
        <v>21</v>
      </c>
      <c r="H165" s="2">
        <v>842.8</v>
      </c>
      <c r="I165" s="2">
        <v>969.52</v>
      </c>
      <c r="J165" s="2">
        <v>17698.8</v>
      </c>
      <c r="K165" s="2">
        <v>20359.919999999998</v>
      </c>
      <c r="L165" s="2">
        <v>2661.12</v>
      </c>
    </row>
    <row r="166" spans="1:12" x14ac:dyDescent="0.3">
      <c r="A166" s="6">
        <f ca="1">Table1[[#This Row],[Date]]*1</f>
        <v>45618</v>
      </c>
      <c r="B166" t="s">
        <v>41</v>
      </c>
      <c r="C166" t="s">
        <v>8</v>
      </c>
      <c r="D166" t="s">
        <v>16</v>
      </c>
      <c r="E166" t="s">
        <v>33</v>
      </c>
      <c r="F166" t="s">
        <v>29</v>
      </c>
      <c r="G166" s="2">
        <v>33</v>
      </c>
      <c r="H166" s="2">
        <v>162.69999999999999</v>
      </c>
      <c r="I166" s="2">
        <v>240.84</v>
      </c>
      <c r="J166" s="2">
        <v>5369.1</v>
      </c>
      <c r="K166" s="2">
        <v>7947.72</v>
      </c>
      <c r="L166" s="2">
        <v>2578.62</v>
      </c>
    </row>
    <row r="167" spans="1:12" x14ac:dyDescent="0.3">
      <c r="A167" s="6">
        <f ca="1">Table1[[#This Row],[Date]]*1</f>
        <v>45479</v>
      </c>
      <c r="B167" t="s">
        <v>28</v>
      </c>
      <c r="C167" t="s">
        <v>2</v>
      </c>
      <c r="D167" t="s">
        <v>14</v>
      </c>
      <c r="E167" t="s">
        <v>40</v>
      </c>
      <c r="F167" t="s">
        <v>29</v>
      </c>
      <c r="G167" s="2">
        <v>42</v>
      </c>
      <c r="H167" s="2">
        <v>860.3</v>
      </c>
      <c r="I167" s="2">
        <v>1144.3399999999999</v>
      </c>
      <c r="J167" s="2">
        <v>36132.6</v>
      </c>
      <c r="K167" s="2">
        <v>48062.28</v>
      </c>
      <c r="L167" s="2">
        <v>11929.68</v>
      </c>
    </row>
    <row r="168" spans="1:12" x14ac:dyDescent="0.3">
      <c r="A168" s="6">
        <f ca="1">Table1[[#This Row],[Date]]*1</f>
        <v>45529</v>
      </c>
      <c r="B168" t="s">
        <v>38</v>
      </c>
      <c r="C168" t="s">
        <v>2</v>
      </c>
      <c r="D168" t="s">
        <v>5</v>
      </c>
      <c r="E168" t="s">
        <v>31</v>
      </c>
      <c r="F168" t="s">
        <v>29</v>
      </c>
      <c r="G168" s="2">
        <v>19</v>
      </c>
      <c r="H168" s="2">
        <v>225.44</v>
      </c>
      <c r="I168" s="2">
        <v>279.22000000000003</v>
      </c>
      <c r="J168" s="2">
        <v>4283.3599999999997</v>
      </c>
      <c r="K168" s="2">
        <v>5305.18</v>
      </c>
      <c r="L168" s="2">
        <v>1021.82</v>
      </c>
    </row>
    <row r="169" spans="1:12" x14ac:dyDescent="0.3">
      <c r="A169" s="6">
        <f ca="1">Table1[[#This Row],[Date]]*1</f>
        <v>45632</v>
      </c>
      <c r="B169" t="s">
        <v>41</v>
      </c>
      <c r="C169" t="s">
        <v>2</v>
      </c>
      <c r="D169" t="s">
        <v>3</v>
      </c>
      <c r="E169" t="s">
        <v>40</v>
      </c>
      <c r="F169" t="s">
        <v>32</v>
      </c>
      <c r="G169" s="2">
        <v>19</v>
      </c>
      <c r="H169" s="2">
        <v>554.84</v>
      </c>
      <c r="I169" s="2">
        <v>796.91</v>
      </c>
      <c r="J169" s="2">
        <v>10541.96</v>
      </c>
      <c r="K169" s="2">
        <v>15141.29</v>
      </c>
      <c r="L169" s="2">
        <v>4599.33</v>
      </c>
    </row>
    <row r="170" spans="1:12" x14ac:dyDescent="0.3">
      <c r="A170" s="6">
        <f ca="1">Table1[[#This Row],[Date]]*1</f>
        <v>45558</v>
      </c>
      <c r="B170" t="s">
        <v>39</v>
      </c>
      <c r="C170" t="s">
        <v>2</v>
      </c>
      <c r="D170" t="s">
        <v>14</v>
      </c>
      <c r="E170" t="s">
        <v>33</v>
      </c>
      <c r="F170" t="s">
        <v>29</v>
      </c>
      <c r="G170" s="2">
        <v>5</v>
      </c>
      <c r="H170" s="2">
        <v>943.53</v>
      </c>
      <c r="I170" s="2">
        <v>1263.67</v>
      </c>
      <c r="J170" s="2">
        <v>4717.6499999999996</v>
      </c>
      <c r="K170" s="2">
        <v>6318.35</v>
      </c>
      <c r="L170" s="2">
        <v>1600.7</v>
      </c>
    </row>
    <row r="171" spans="1:12" x14ac:dyDescent="0.3">
      <c r="A171" s="6">
        <f ca="1">Table1[[#This Row],[Date]]*1</f>
        <v>45574</v>
      </c>
      <c r="B171" t="s">
        <v>30</v>
      </c>
      <c r="C171" t="s">
        <v>8</v>
      </c>
      <c r="D171" t="s">
        <v>9</v>
      </c>
      <c r="E171" t="s">
        <v>4</v>
      </c>
      <c r="F171" t="s">
        <v>29</v>
      </c>
      <c r="G171" s="2">
        <v>49</v>
      </c>
      <c r="H171" s="2">
        <v>937.68</v>
      </c>
      <c r="I171" s="2">
        <v>1301.2</v>
      </c>
      <c r="J171" s="2">
        <v>45946.32</v>
      </c>
      <c r="K171" s="2">
        <v>63758.8</v>
      </c>
      <c r="L171" s="2">
        <v>17812.48</v>
      </c>
    </row>
    <row r="172" spans="1:12" x14ac:dyDescent="0.3">
      <c r="A172" s="6">
        <f ca="1">Table1[[#This Row],[Date]]*1</f>
        <v>45409</v>
      </c>
      <c r="B172" t="s">
        <v>28</v>
      </c>
      <c r="C172" t="s">
        <v>2</v>
      </c>
      <c r="D172" t="s">
        <v>5</v>
      </c>
      <c r="E172" t="s">
        <v>4</v>
      </c>
      <c r="F172" t="s">
        <v>32</v>
      </c>
      <c r="G172" s="2">
        <v>50</v>
      </c>
      <c r="H172" s="2">
        <v>860.56</v>
      </c>
      <c r="I172" s="2">
        <v>1226.7</v>
      </c>
      <c r="J172" s="2">
        <v>43028</v>
      </c>
      <c r="K172" s="2">
        <v>61335</v>
      </c>
      <c r="L172" s="2">
        <v>18307</v>
      </c>
    </row>
    <row r="173" spans="1:12" x14ac:dyDescent="0.3">
      <c r="A173" s="6">
        <f ca="1">Table1[[#This Row],[Date]]*1</f>
        <v>45642</v>
      </c>
      <c r="B173" t="s">
        <v>41</v>
      </c>
      <c r="C173" t="s">
        <v>6</v>
      </c>
      <c r="D173" t="s">
        <v>17</v>
      </c>
      <c r="E173" t="s">
        <v>40</v>
      </c>
      <c r="F173" t="s">
        <v>32</v>
      </c>
      <c r="G173" s="2">
        <v>31</v>
      </c>
      <c r="H173" s="2">
        <v>526.20000000000005</v>
      </c>
      <c r="I173" s="2">
        <v>769.06</v>
      </c>
      <c r="J173" s="2">
        <v>16312.2</v>
      </c>
      <c r="K173" s="2">
        <v>23840.86</v>
      </c>
      <c r="L173" s="2">
        <v>7528.66</v>
      </c>
    </row>
    <row r="174" spans="1:12" x14ac:dyDescent="0.3">
      <c r="A174" s="6">
        <f ca="1">Table1[[#This Row],[Date]]*1</f>
        <v>45643</v>
      </c>
      <c r="B174" t="s">
        <v>36</v>
      </c>
      <c r="C174" t="s">
        <v>2</v>
      </c>
      <c r="D174" t="s">
        <v>14</v>
      </c>
      <c r="E174" t="s">
        <v>35</v>
      </c>
      <c r="F174" t="s">
        <v>32</v>
      </c>
      <c r="G174" s="2">
        <v>18</v>
      </c>
      <c r="H174" s="2">
        <v>450.58</v>
      </c>
      <c r="I174" s="2">
        <v>621.45000000000005</v>
      </c>
      <c r="J174" s="2">
        <v>8110.44</v>
      </c>
      <c r="K174" s="2">
        <v>11186.1</v>
      </c>
      <c r="L174" s="2">
        <v>3075.66</v>
      </c>
    </row>
    <row r="175" spans="1:12" x14ac:dyDescent="0.3">
      <c r="A175" s="6">
        <f ca="1">Table1[[#This Row],[Date]]*1</f>
        <v>45625</v>
      </c>
      <c r="B175" t="s">
        <v>38</v>
      </c>
      <c r="C175" t="s">
        <v>2</v>
      </c>
      <c r="D175" t="s">
        <v>5</v>
      </c>
      <c r="E175" t="s">
        <v>4</v>
      </c>
      <c r="F175" t="s">
        <v>32</v>
      </c>
      <c r="G175" s="2">
        <v>36</v>
      </c>
      <c r="H175" s="2">
        <v>487.71</v>
      </c>
      <c r="I175" s="2">
        <v>552.58000000000004</v>
      </c>
      <c r="J175" s="2">
        <v>17557.560000000001</v>
      </c>
      <c r="K175" s="2">
        <v>19892.88</v>
      </c>
      <c r="L175" s="2">
        <v>2335.3200000000002</v>
      </c>
    </row>
    <row r="176" spans="1:12" x14ac:dyDescent="0.3">
      <c r="A176" s="6">
        <f ca="1">Table1[[#This Row],[Date]]*1</f>
        <v>45555</v>
      </c>
      <c r="B176" t="s">
        <v>41</v>
      </c>
      <c r="C176" t="s">
        <v>8</v>
      </c>
      <c r="D176" t="s">
        <v>42</v>
      </c>
      <c r="E176" t="s">
        <v>40</v>
      </c>
      <c r="F176" t="s">
        <v>32</v>
      </c>
      <c r="G176" s="2">
        <v>17</v>
      </c>
      <c r="H176" s="2">
        <v>446.07</v>
      </c>
      <c r="I176" s="2">
        <v>502.36</v>
      </c>
      <c r="J176" s="2">
        <v>7583.19</v>
      </c>
      <c r="K176" s="2">
        <v>8540.1200000000008</v>
      </c>
      <c r="L176" s="2">
        <v>956.93</v>
      </c>
    </row>
    <row r="177" spans="1:12" x14ac:dyDescent="0.3">
      <c r="A177" s="6">
        <f ca="1">Table1[[#This Row],[Date]]*1</f>
        <v>45345</v>
      </c>
      <c r="B177" t="s">
        <v>36</v>
      </c>
      <c r="C177" t="s">
        <v>2</v>
      </c>
      <c r="D177" t="s">
        <v>5</v>
      </c>
      <c r="E177" t="s">
        <v>43</v>
      </c>
      <c r="F177" t="s">
        <v>32</v>
      </c>
      <c r="G177" s="2">
        <v>46</v>
      </c>
      <c r="H177" s="2">
        <v>959.19</v>
      </c>
      <c r="I177" s="2">
        <v>1061.42</v>
      </c>
      <c r="J177" s="2">
        <v>44122.74</v>
      </c>
      <c r="K177" s="2">
        <v>48825.32</v>
      </c>
      <c r="L177" s="2">
        <v>4702.58</v>
      </c>
    </row>
    <row r="178" spans="1:12" x14ac:dyDescent="0.3">
      <c r="A178" s="6">
        <f ca="1">Table1[[#This Row],[Date]]*1</f>
        <v>45317</v>
      </c>
      <c r="B178" t="s">
        <v>44</v>
      </c>
      <c r="C178" t="s">
        <v>2</v>
      </c>
      <c r="D178" t="s">
        <v>5</v>
      </c>
      <c r="E178" t="s">
        <v>43</v>
      </c>
      <c r="F178" t="s">
        <v>32</v>
      </c>
      <c r="G178" s="2">
        <v>19</v>
      </c>
      <c r="H178" s="2">
        <v>995.73</v>
      </c>
      <c r="I178" s="2">
        <v>1229.6300000000001</v>
      </c>
      <c r="J178" s="2">
        <v>18918.87</v>
      </c>
      <c r="K178" s="2">
        <v>23362.97</v>
      </c>
      <c r="L178" s="2">
        <v>4444.1000000000004</v>
      </c>
    </row>
    <row r="179" spans="1:12" x14ac:dyDescent="0.3">
      <c r="A179" s="6">
        <f ca="1">Table1[[#This Row],[Date]]*1</f>
        <v>45596</v>
      </c>
      <c r="B179" t="s">
        <v>37</v>
      </c>
      <c r="C179" t="s">
        <v>2</v>
      </c>
      <c r="D179" t="s">
        <v>14</v>
      </c>
      <c r="E179" t="s">
        <v>4</v>
      </c>
      <c r="F179" t="s">
        <v>29</v>
      </c>
      <c r="G179" s="2">
        <v>1</v>
      </c>
      <c r="H179" s="2">
        <v>363.97</v>
      </c>
      <c r="I179" s="2">
        <v>518.45000000000005</v>
      </c>
      <c r="J179" s="2">
        <v>363.97</v>
      </c>
      <c r="K179" s="2">
        <v>518.45000000000005</v>
      </c>
      <c r="L179" s="2">
        <v>154.47999999999999</v>
      </c>
    </row>
    <row r="180" spans="1:12" x14ac:dyDescent="0.3">
      <c r="A180" s="6">
        <f ca="1">Table1[[#This Row],[Date]]*1</f>
        <v>45465</v>
      </c>
      <c r="B180" t="s">
        <v>44</v>
      </c>
      <c r="C180" t="s">
        <v>8</v>
      </c>
      <c r="D180" t="s">
        <v>16</v>
      </c>
      <c r="E180" t="s">
        <v>40</v>
      </c>
      <c r="F180" t="s">
        <v>32</v>
      </c>
      <c r="G180" s="2">
        <v>2</v>
      </c>
      <c r="H180" s="2">
        <v>462.1</v>
      </c>
      <c r="I180" s="2">
        <v>570.16999999999996</v>
      </c>
      <c r="J180" s="2">
        <v>924.2</v>
      </c>
      <c r="K180" s="2">
        <v>1140.3399999999999</v>
      </c>
      <c r="L180" s="2">
        <v>216.14</v>
      </c>
    </row>
    <row r="181" spans="1:12" x14ac:dyDescent="0.3">
      <c r="A181" s="6">
        <f ca="1">Table1[[#This Row],[Date]]*1</f>
        <v>45640</v>
      </c>
      <c r="B181" t="s">
        <v>34</v>
      </c>
      <c r="C181" t="s">
        <v>2</v>
      </c>
      <c r="D181" t="s">
        <v>3</v>
      </c>
      <c r="E181" t="s">
        <v>4</v>
      </c>
      <c r="F181" t="s">
        <v>32</v>
      </c>
      <c r="G181" s="2">
        <v>48</v>
      </c>
      <c r="H181" s="2">
        <v>779.1</v>
      </c>
      <c r="I181" s="2">
        <v>911.9</v>
      </c>
      <c r="J181" s="2">
        <v>37396.800000000003</v>
      </c>
      <c r="K181" s="2">
        <v>43771.199999999997</v>
      </c>
      <c r="L181" s="2">
        <v>6374.4</v>
      </c>
    </row>
    <row r="182" spans="1:12" x14ac:dyDescent="0.3">
      <c r="A182" s="6">
        <f ca="1">Table1[[#This Row],[Date]]*1</f>
        <v>45511</v>
      </c>
      <c r="B182" t="s">
        <v>41</v>
      </c>
      <c r="C182" t="s">
        <v>8</v>
      </c>
      <c r="D182" t="s">
        <v>9</v>
      </c>
      <c r="E182" t="s">
        <v>33</v>
      </c>
      <c r="F182" t="s">
        <v>32</v>
      </c>
      <c r="G182" s="2">
        <v>22</v>
      </c>
      <c r="H182" s="2">
        <v>803.56</v>
      </c>
      <c r="I182" s="2">
        <v>1050.21</v>
      </c>
      <c r="J182" s="2">
        <v>17678.32</v>
      </c>
      <c r="K182" s="2">
        <v>23104.62</v>
      </c>
      <c r="L182" s="2">
        <v>5426.3</v>
      </c>
    </row>
    <row r="183" spans="1:12" x14ac:dyDescent="0.3">
      <c r="A183" s="6">
        <f ca="1">Table1[[#This Row],[Date]]*1</f>
        <v>45570</v>
      </c>
      <c r="B183" t="s">
        <v>30</v>
      </c>
      <c r="C183" t="s">
        <v>11</v>
      </c>
      <c r="D183" t="s">
        <v>15</v>
      </c>
      <c r="E183" t="s">
        <v>40</v>
      </c>
      <c r="F183" t="s">
        <v>29</v>
      </c>
      <c r="G183" s="2">
        <v>25</v>
      </c>
      <c r="H183" s="2">
        <v>712.04</v>
      </c>
      <c r="I183" s="2">
        <v>959.21</v>
      </c>
      <c r="J183" s="2">
        <v>17801</v>
      </c>
      <c r="K183" s="2">
        <v>23980.25</v>
      </c>
      <c r="L183" s="2">
        <v>6179.25</v>
      </c>
    </row>
    <row r="184" spans="1:12" x14ac:dyDescent="0.3">
      <c r="A184" s="6">
        <f ca="1">Table1[[#This Row],[Date]]*1</f>
        <v>45442</v>
      </c>
      <c r="B184" t="s">
        <v>36</v>
      </c>
      <c r="C184" t="s">
        <v>2</v>
      </c>
      <c r="D184" t="s">
        <v>3</v>
      </c>
      <c r="E184" t="s">
        <v>40</v>
      </c>
      <c r="F184" t="s">
        <v>29</v>
      </c>
      <c r="G184" s="2">
        <v>40</v>
      </c>
      <c r="H184" s="2">
        <v>649.21</v>
      </c>
      <c r="I184" s="2">
        <v>923.62</v>
      </c>
      <c r="J184" s="2">
        <v>25968.400000000001</v>
      </c>
      <c r="K184" s="2">
        <v>36944.800000000003</v>
      </c>
      <c r="L184" s="2">
        <v>10976.4</v>
      </c>
    </row>
    <row r="185" spans="1:12" x14ac:dyDescent="0.3">
      <c r="A185" s="6">
        <f ca="1">Table1[[#This Row],[Date]]*1</f>
        <v>45579</v>
      </c>
      <c r="B185" t="s">
        <v>39</v>
      </c>
      <c r="C185" t="s">
        <v>8</v>
      </c>
      <c r="D185" t="s">
        <v>9</v>
      </c>
      <c r="E185" t="s">
        <v>4</v>
      </c>
      <c r="F185" t="s">
        <v>29</v>
      </c>
      <c r="G185" s="2">
        <v>37</v>
      </c>
      <c r="H185" s="2">
        <v>875.45</v>
      </c>
      <c r="I185" s="2">
        <v>1040.6199999999999</v>
      </c>
      <c r="J185" s="2">
        <v>32391.65</v>
      </c>
      <c r="K185" s="2">
        <v>38502.94</v>
      </c>
      <c r="L185" s="2">
        <v>6111.29</v>
      </c>
    </row>
    <row r="186" spans="1:12" x14ac:dyDescent="0.3">
      <c r="A186" s="6">
        <f ca="1">Table1[[#This Row],[Date]]*1</f>
        <v>45390</v>
      </c>
      <c r="B186" t="s">
        <v>41</v>
      </c>
      <c r="C186" t="s">
        <v>11</v>
      </c>
      <c r="D186" t="s">
        <v>15</v>
      </c>
      <c r="E186" t="s">
        <v>4</v>
      </c>
      <c r="F186" t="s">
        <v>29</v>
      </c>
      <c r="G186" s="2">
        <v>10</v>
      </c>
      <c r="H186" s="2">
        <v>191.29</v>
      </c>
      <c r="I186" s="2">
        <v>216.46</v>
      </c>
      <c r="J186" s="2">
        <v>1912.9</v>
      </c>
      <c r="K186" s="2">
        <v>2164.6</v>
      </c>
      <c r="L186" s="2">
        <v>251.7</v>
      </c>
    </row>
    <row r="187" spans="1:12" x14ac:dyDescent="0.3">
      <c r="A187" s="6">
        <f ca="1">Table1[[#This Row],[Date]]*1</f>
        <v>45505</v>
      </c>
      <c r="B187" t="s">
        <v>34</v>
      </c>
      <c r="C187" t="s">
        <v>8</v>
      </c>
      <c r="D187" t="s">
        <v>9</v>
      </c>
      <c r="E187" t="s">
        <v>40</v>
      </c>
      <c r="F187" t="s">
        <v>29</v>
      </c>
      <c r="G187" s="2">
        <v>1</v>
      </c>
      <c r="H187" s="2">
        <v>899.31</v>
      </c>
      <c r="I187" s="2">
        <v>1146.7</v>
      </c>
      <c r="J187" s="2">
        <v>899.31</v>
      </c>
      <c r="K187" s="2">
        <v>1146.7</v>
      </c>
      <c r="L187" s="2">
        <v>247.39</v>
      </c>
    </row>
    <row r="188" spans="1:12" x14ac:dyDescent="0.3">
      <c r="A188" s="6">
        <f ca="1">Table1[[#This Row],[Date]]*1</f>
        <v>45391</v>
      </c>
      <c r="B188" t="s">
        <v>41</v>
      </c>
      <c r="C188" t="s">
        <v>11</v>
      </c>
      <c r="D188" t="s">
        <v>13</v>
      </c>
      <c r="E188" t="s">
        <v>43</v>
      </c>
      <c r="F188" t="s">
        <v>32</v>
      </c>
      <c r="G188" s="2">
        <v>48</v>
      </c>
      <c r="H188" s="2">
        <v>131.27000000000001</v>
      </c>
      <c r="I188" s="2">
        <v>195.09</v>
      </c>
      <c r="J188" s="2">
        <v>6300.96</v>
      </c>
      <c r="K188" s="2">
        <v>9364.32</v>
      </c>
      <c r="L188" s="2">
        <v>3063.36</v>
      </c>
    </row>
    <row r="189" spans="1:12" x14ac:dyDescent="0.3">
      <c r="A189" s="6">
        <f ca="1">Table1[[#This Row],[Date]]*1</f>
        <v>45643</v>
      </c>
      <c r="B189" t="s">
        <v>30</v>
      </c>
      <c r="C189" t="s">
        <v>8</v>
      </c>
      <c r="D189" t="s">
        <v>9</v>
      </c>
      <c r="E189" t="s">
        <v>33</v>
      </c>
      <c r="F189" t="s">
        <v>29</v>
      </c>
      <c r="G189" s="2">
        <v>36</v>
      </c>
      <c r="H189" s="2">
        <v>374.81</v>
      </c>
      <c r="I189" s="2">
        <v>434.54</v>
      </c>
      <c r="J189" s="2">
        <v>13493.16</v>
      </c>
      <c r="K189" s="2">
        <v>15643.44</v>
      </c>
      <c r="L189" s="2">
        <v>2150.2800000000002</v>
      </c>
    </row>
    <row r="190" spans="1:12" x14ac:dyDescent="0.3">
      <c r="A190" s="6">
        <f ca="1">Table1[[#This Row],[Date]]*1</f>
        <v>45333</v>
      </c>
      <c r="B190" t="s">
        <v>41</v>
      </c>
      <c r="C190" t="s">
        <v>2</v>
      </c>
      <c r="D190" t="s">
        <v>3</v>
      </c>
      <c r="E190" t="s">
        <v>31</v>
      </c>
      <c r="F190" t="s">
        <v>32</v>
      </c>
      <c r="G190" s="2">
        <v>15</v>
      </c>
      <c r="H190" s="2">
        <v>362.6</v>
      </c>
      <c r="I190" s="2">
        <v>438.98</v>
      </c>
      <c r="J190" s="2">
        <v>5439</v>
      </c>
      <c r="K190" s="2">
        <v>6584.7</v>
      </c>
      <c r="L190" s="2">
        <v>1145.7</v>
      </c>
    </row>
    <row r="191" spans="1:12" x14ac:dyDescent="0.3">
      <c r="A191" s="6">
        <f ca="1">Table1[[#This Row],[Date]]*1</f>
        <v>45497</v>
      </c>
      <c r="B191" t="s">
        <v>45</v>
      </c>
      <c r="C191" t="s">
        <v>8</v>
      </c>
      <c r="D191" t="s">
        <v>9</v>
      </c>
      <c r="E191" t="s">
        <v>35</v>
      </c>
      <c r="F191" t="s">
        <v>29</v>
      </c>
      <c r="G191" s="2">
        <v>16</v>
      </c>
      <c r="H191" s="2">
        <v>225.13</v>
      </c>
      <c r="I191" s="2">
        <v>282.60000000000002</v>
      </c>
      <c r="J191" s="2">
        <v>3602.08</v>
      </c>
      <c r="K191" s="2">
        <v>4521.6000000000004</v>
      </c>
      <c r="L191" s="2">
        <v>919.52</v>
      </c>
    </row>
    <row r="192" spans="1:12" x14ac:dyDescent="0.3">
      <c r="A192" s="6">
        <f ca="1">Table1[[#This Row],[Date]]*1</f>
        <v>45388</v>
      </c>
      <c r="B192" t="s">
        <v>38</v>
      </c>
      <c r="C192" t="s">
        <v>8</v>
      </c>
      <c r="D192" t="s">
        <v>42</v>
      </c>
      <c r="E192" t="s">
        <v>33</v>
      </c>
      <c r="F192" t="s">
        <v>32</v>
      </c>
      <c r="G192" s="2">
        <v>40</v>
      </c>
      <c r="H192" s="2">
        <v>470.12</v>
      </c>
      <c r="I192" s="2">
        <v>672.37</v>
      </c>
      <c r="J192" s="2">
        <v>18804.8</v>
      </c>
      <c r="K192" s="2">
        <v>26894.799999999999</v>
      </c>
      <c r="L192" s="2">
        <v>8090</v>
      </c>
    </row>
    <row r="193" spans="1:12" x14ac:dyDescent="0.3">
      <c r="A193" s="6">
        <f ca="1">Table1[[#This Row],[Date]]*1</f>
        <v>45531</v>
      </c>
      <c r="B193" t="s">
        <v>36</v>
      </c>
      <c r="C193" t="s">
        <v>6</v>
      </c>
      <c r="D193" t="s">
        <v>10</v>
      </c>
      <c r="E193" t="s">
        <v>35</v>
      </c>
      <c r="F193" t="s">
        <v>29</v>
      </c>
      <c r="G193" s="2">
        <v>17</v>
      </c>
      <c r="H193" s="2">
        <v>594.87</v>
      </c>
      <c r="I193" s="2">
        <v>867.97</v>
      </c>
      <c r="J193" s="2">
        <v>10112.790000000001</v>
      </c>
      <c r="K193" s="2">
        <v>14755.49</v>
      </c>
      <c r="L193" s="2">
        <v>4642.7</v>
      </c>
    </row>
    <row r="194" spans="1:12" x14ac:dyDescent="0.3">
      <c r="A194" s="6">
        <f ca="1">Table1[[#This Row],[Date]]*1</f>
        <v>45581</v>
      </c>
      <c r="B194" t="s">
        <v>34</v>
      </c>
      <c r="C194" t="s">
        <v>8</v>
      </c>
      <c r="D194" t="s">
        <v>9</v>
      </c>
      <c r="E194" t="s">
        <v>31</v>
      </c>
      <c r="F194" t="s">
        <v>32</v>
      </c>
      <c r="G194" s="2">
        <v>7</v>
      </c>
      <c r="H194" s="2">
        <v>267.37</v>
      </c>
      <c r="I194" s="2">
        <v>374.49</v>
      </c>
      <c r="J194" s="2">
        <v>1871.59</v>
      </c>
      <c r="K194" s="2">
        <v>2621.4299999999998</v>
      </c>
      <c r="L194" s="2">
        <v>749.84</v>
      </c>
    </row>
    <row r="195" spans="1:12" x14ac:dyDescent="0.3">
      <c r="A195" s="6">
        <f ca="1">Table1[[#This Row],[Date]]*1</f>
        <v>45363</v>
      </c>
      <c r="B195" t="s">
        <v>37</v>
      </c>
      <c r="C195" t="s">
        <v>2</v>
      </c>
      <c r="D195" t="s">
        <v>14</v>
      </c>
      <c r="E195" t="s">
        <v>40</v>
      </c>
      <c r="F195" t="s">
        <v>32</v>
      </c>
      <c r="G195" s="2">
        <v>8</v>
      </c>
      <c r="H195" s="2">
        <v>531.87</v>
      </c>
      <c r="I195" s="2">
        <v>603.46</v>
      </c>
      <c r="J195" s="2">
        <v>4254.96</v>
      </c>
      <c r="K195" s="2">
        <v>4827.68</v>
      </c>
      <c r="L195" s="2">
        <v>572.72</v>
      </c>
    </row>
    <row r="196" spans="1:12" x14ac:dyDescent="0.3">
      <c r="A196" s="6">
        <f ca="1">Table1[[#This Row],[Date]]*1</f>
        <v>45343</v>
      </c>
      <c r="B196" t="s">
        <v>38</v>
      </c>
      <c r="C196" t="s">
        <v>8</v>
      </c>
      <c r="D196" t="s">
        <v>9</v>
      </c>
      <c r="E196" t="s">
        <v>33</v>
      </c>
      <c r="F196" t="s">
        <v>29</v>
      </c>
      <c r="G196" s="2">
        <v>14</v>
      </c>
      <c r="H196" s="2">
        <v>993.95</v>
      </c>
      <c r="I196" s="2">
        <v>1176.28</v>
      </c>
      <c r="J196" s="2">
        <v>13915.3</v>
      </c>
      <c r="K196" s="2">
        <v>16467.919999999998</v>
      </c>
      <c r="L196" s="2">
        <v>2552.62</v>
      </c>
    </row>
    <row r="197" spans="1:12" x14ac:dyDescent="0.3">
      <c r="A197" s="6">
        <f ca="1">Table1[[#This Row],[Date]]*1</f>
        <v>45620</v>
      </c>
      <c r="B197" t="s">
        <v>36</v>
      </c>
      <c r="C197" t="s">
        <v>6</v>
      </c>
      <c r="D197" t="s">
        <v>7</v>
      </c>
      <c r="E197" t="s">
        <v>40</v>
      </c>
      <c r="F197" t="s">
        <v>32</v>
      </c>
      <c r="G197" s="2">
        <v>20</v>
      </c>
      <c r="H197" s="2">
        <v>797.3</v>
      </c>
      <c r="I197" s="2">
        <v>1146.6400000000001</v>
      </c>
      <c r="J197" s="2">
        <v>15946</v>
      </c>
      <c r="K197" s="2">
        <v>22932.799999999999</v>
      </c>
      <c r="L197" s="2">
        <v>6986.8</v>
      </c>
    </row>
    <row r="198" spans="1:12" x14ac:dyDescent="0.3">
      <c r="A198" s="6">
        <f ca="1">Table1[[#This Row],[Date]]*1</f>
        <v>45326</v>
      </c>
      <c r="B198" t="s">
        <v>39</v>
      </c>
      <c r="C198" t="s">
        <v>11</v>
      </c>
      <c r="D198" t="s">
        <v>13</v>
      </c>
      <c r="E198" t="s">
        <v>43</v>
      </c>
      <c r="F198" t="s">
        <v>29</v>
      </c>
      <c r="G198" s="2">
        <v>41</v>
      </c>
      <c r="H198" s="2">
        <v>789.81</v>
      </c>
      <c r="I198" s="2">
        <v>1089.96</v>
      </c>
      <c r="J198" s="2">
        <v>32382.21</v>
      </c>
      <c r="K198" s="2">
        <v>44688.36</v>
      </c>
      <c r="L198" s="2">
        <v>12306.15</v>
      </c>
    </row>
    <row r="199" spans="1:12" x14ac:dyDescent="0.3">
      <c r="A199" s="6">
        <f ca="1">Table1[[#This Row],[Date]]*1</f>
        <v>45434</v>
      </c>
      <c r="B199" t="s">
        <v>45</v>
      </c>
      <c r="C199" t="s">
        <v>8</v>
      </c>
      <c r="D199" t="s">
        <v>42</v>
      </c>
      <c r="E199" t="s">
        <v>35</v>
      </c>
      <c r="F199" t="s">
        <v>32</v>
      </c>
      <c r="G199" s="2">
        <v>8</v>
      </c>
      <c r="H199" s="2">
        <v>95.2</v>
      </c>
      <c r="I199" s="2">
        <v>138.13</v>
      </c>
      <c r="J199" s="2">
        <v>761.6</v>
      </c>
      <c r="K199" s="2">
        <v>1105.04</v>
      </c>
      <c r="L199" s="2">
        <v>343.44</v>
      </c>
    </row>
    <row r="200" spans="1:12" x14ac:dyDescent="0.3">
      <c r="A200" s="6">
        <f ca="1">Table1[[#This Row],[Date]]*1</f>
        <v>45651</v>
      </c>
      <c r="B200" t="s">
        <v>38</v>
      </c>
      <c r="C200" t="s">
        <v>6</v>
      </c>
      <c r="D200" t="s">
        <v>7</v>
      </c>
      <c r="E200" t="s">
        <v>40</v>
      </c>
      <c r="F200" t="s">
        <v>29</v>
      </c>
      <c r="G200" s="2">
        <v>13</v>
      </c>
      <c r="H200" s="2">
        <v>79.900000000000006</v>
      </c>
      <c r="I200" s="2">
        <v>93.4</v>
      </c>
      <c r="J200" s="2">
        <v>1038.7</v>
      </c>
      <c r="K200" s="2">
        <v>1214.2</v>
      </c>
      <c r="L200" s="2">
        <v>175.5</v>
      </c>
    </row>
    <row r="201" spans="1:12" x14ac:dyDescent="0.3">
      <c r="A201" s="6">
        <f ca="1">Table1[[#This Row],[Date]]*1</f>
        <v>45303</v>
      </c>
      <c r="B201" t="s">
        <v>36</v>
      </c>
      <c r="C201" t="s">
        <v>2</v>
      </c>
      <c r="D201" t="s">
        <v>14</v>
      </c>
      <c r="E201" t="s">
        <v>43</v>
      </c>
      <c r="F201" t="s">
        <v>32</v>
      </c>
      <c r="G201" s="2">
        <v>9</v>
      </c>
      <c r="H201" s="2">
        <v>123.84</v>
      </c>
      <c r="I201" s="2">
        <v>168.76</v>
      </c>
      <c r="J201" s="2">
        <v>1114.56</v>
      </c>
      <c r="K201" s="2">
        <v>1518.84</v>
      </c>
      <c r="L201" s="2">
        <v>404.28</v>
      </c>
    </row>
    <row r="202" spans="1:12" x14ac:dyDescent="0.3">
      <c r="A202" s="6">
        <f ca="1">Table1[[#This Row],[Date]]*1</f>
        <v>45359</v>
      </c>
      <c r="B202" t="s">
        <v>34</v>
      </c>
      <c r="C202" t="s">
        <v>11</v>
      </c>
      <c r="D202" t="s">
        <v>15</v>
      </c>
      <c r="E202" t="s">
        <v>33</v>
      </c>
      <c r="F202" t="s">
        <v>32</v>
      </c>
      <c r="G202" s="2">
        <v>30</v>
      </c>
      <c r="H202" s="2">
        <v>287.06</v>
      </c>
      <c r="I202" s="2">
        <v>338.88</v>
      </c>
      <c r="J202" s="2">
        <v>8611.7999999999993</v>
      </c>
      <c r="K202" s="2">
        <v>10166.4</v>
      </c>
      <c r="L202" s="2">
        <v>1554.6</v>
      </c>
    </row>
    <row r="203" spans="1:12" x14ac:dyDescent="0.3">
      <c r="A203" s="6">
        <f ca="1">Table1[[#This Row],[Date]]*1</f>
        <v>45426</v>
      </c>
      <c r="B203" t="s">
        <v>44</v>
      </c>
      <c r="C203" t="s">
        <v>2</v>
      </c>
      <c r="D203" t="s">
        <v>5</v>
      </c>
      <c r="E203" t="s">
        <v>33</v>
      </c>
      <c r="F203" t="s">
        <v>29</v>
      </c>
      <c r="G203" s="2">
        <v>1</v>
      </c>
      <c r="H203" s="2">
        <v>747.23</v>
      </c>
      <c r="I203" s="2">
        <v>840.63</v>
      </c>
      <c r="J203" s="2">
        <v>747.23</v>
      </c>
      <c r="K203" s="2">
        <v>840.63</v>
      </c>
      <c r="L203" s="2">
        <v>93.4</v>
      </c>
    </row>
    <row r="204" spans="1:12" x14ac:dyDescent="0.3">
      <c r="A204" s="6">
        <f ca="1">Table1[[#This Row],[Date]]*1</f>
        <v>45523</v>
      </c>
      <c r="B204" t="s">
        <v>28</v>
      </c>
      <c r="C204" t="s">
        <v>6</v>
      </c>
      <c r="D204" t="s">
        <v>7</v>
      </c>
      <c r="E204" t="s">
        <v>33</v>
      </c>
      <c r="F204" t="s">
        <v>32</v>
      </c>
      <c r="G204" s="2">
        <v>16</v>
      </c>
      <c r="H204" s="2">
        <v>970</v>
      </c>
      <c r="I204" s="2">
        <v>1199.5999999999999</v>
      </c>
      <c r="J204" s="2">
        <v>15520</v>
      </c>
      <c r="K204" s="2">
        <v>19193.599999999999</v>
      </c>
      <c r="L204" s="2">
        <v>3673.6</v>
      </c>
    </row>
    <row r="205" spans="1:12" x14ac:dyDescent="0.3">
      <c r="A205" s="6">
        <f ca="1">Table1[[#This Row],[Date]]*1</f>
        <v>45481</v>
      </c>
      <c r="B205" t="s">
        <v>45</v>
      </c>
      <c r="C205" t="s">
        <v>2</v>
      </c>
      <c r="D205" t="s">
        <v>3</v>
      </c>
      <c r="E205" t="s">
        <v>40</v>
      </c>
      <c r="F205" t="s">
        <v>29</v>
      </c>
      <c r="G205" s="2">
        <v>10</v>
      </c>
      <c r="H205" s="2">
        <v>236.24</v>
      </c>
      <c r="I205" s="2">
        <v>297.58</v>
      </c>
      <c r="J205" s="2">
        <v>2362.4</v>
      </c>
      <c r="K205" s="2">
        <v>2975.8</v>
      </c>
      <c r="L205" s="2">
        <v>613.4</v>
      </c>
    </row>
    <row r="206" spans="1:12" x14ac:dyDescent="0.3">
      <c r="A206" s="6">
        <f ca="1">Table1[[#This Row],[Date]]*1</f>
        <v>45490</v>
      </c>
      <c r="B206" t="s">
        <v>30</v>
      </c>
      <c r="C206" t="s">
        <v>8</v>
      </c>
      <c r="D206" t="s">
        <v>16</v>
      </c>
      <c r="E206" t="s">
        <v>43</v>
      </c>
      <c r="F206" t="s">
        <v>29</v>
      </c>
      <c r="G206" s="2">
        <v>42</v>
      </c>
      <c r="H206" s="2">
        <v>907.09</v>
      </c>
      <c r="I206" s="2">
        <v>1302.94</v>
      </c>
      <c r="J206" s="2">
        <v>38097.78</v>
      </c>
      <c r="K206" s="2">
        <v>54723.48</v>
      </c>
      <c r="L206" s="2">
        <v>16625.7</v>
      </c>
    </row>
    <row r="207" spans="1:12" x14ac:dyDescent="0.3">
      <c r="A207" s="6">
        <f ca="1">Table1[[#This Row],[Date]]*1</f>
        <v>45433</v>
      </c>
      <c r="B207" t="s">
        <v>41</v>
      </c>
      <c r="C207" t="s">
        <v>6</v>
      </c>
      <c r="D207" t="s">
        <v>17</v>
      </c>
      <c r="E207" t="s">
        <v>35</v>
      </c>
      <c r="F207" t="s">
        <v>29</v>
      </c>
      <c r="G207" s="2">
        <v>38</v>
      </c>
      <c r="H207" s="2">
        <v>153.55000000000001</v>
      </c>
      <c r="I207" s="2">
        <v>176.73</v>
      </c>
      <c r="J207" s="2">
        <v>5834.9</v>
      </c>
      <c r="K207" s="2">
        <v>6715.74</v>
      </c>
      <c r="L207" s="2">
        <v>880.84</v>
      </c>
    </row>
    <row r="208" spans="1:12" x14ac:dyDescent="0.3">
      <c r="A208" s="6">
        <f ca="1">Table1[[#This Row],[Date]]*1</f>
        <v>45634</v>
      </c>
      <c r="B208" t="s">
        <v>44</v>
      </c>
      <c r="C208" t="s">
        <v>2</v>
      </c>
      <c r="D208" t="s">
        <v>5</v>
      </c>
      <c r="E208" t="s">
        <v>43</v>
      </c>
      <c r="F208" t="s">
        <v>32</v>
      </c>
      <c r="G208" s="2">
        <v>28</v>
      </c>
      <c r="H208" s="2">
        <v>827.69</v>
      </c>
      <c r="I208" s="2">
        <v>1093.24</v>
      </c>
      <c r="J208" s="2">
        <v>23175.32</v>
      </c>
      <c r="K208" s="2">
        <v>30610.720000000001</v>
      </c>
      <c r="L208" s="2">
        <v>7435.4</v>
      </c>
    </row>
    <row r="209" spans="1:12" x14ac:dyDescent="0.3">
      <c r="A209" s="6">
        <f ca="1">Table1[[#This Row],[Date]]*1</f>
        <v>45518</v>
      </c>
      <c r="B209" t="s">
        <v>44</v>
      </c>
      <c r="C209" t="s">
        <v>6</v>
      </c>
      <c r="D209" t="s">
        <v>10</v>
      </c>
      <c r="E209" t="s">
        <v>43</v>
      </c>
      <c r="F209" t="s">
        <v>32</v>
      </c>
      <c r="G209" s="2">
        <v>10</v>
      </c>
      <c r="H209" s="2">
        <v>567.4</v>
      </c>
      <c r="I209" s="2">
        <v>838.27</v>
      </c>
      <c r="J209" s="2">
        <v>5674</v>
      </c>
      <c r="K209" s="2">
        <v>8382.7000000000007</v>
      </c>
      <c r="L209" s="2">
        <v>2708.7</v>
      </c>
    </row>
    <row r="210" spans="1:12" x14ac:dyDescent="0.3">
      <c r="A210" s="6">
        <f ca="1">Table1[[#This Row],[Date]]*1</f>
        <v>45551</v>
      </c>
      <c r="B210" t="s">
        <v>34</v>
      </c>
      <c r="C210" t="s">
        <v>6</v>
      </c>
      <c r="D210" t="s">
        <v>17</v>
      </c>
      <c r="E210" t="s">
        <v>35</v>
      </c>
      <c r="F210" t="s">
        <v>29</v>
      </c>
      <c r="G210" s="2">
        <v>50</v>
      </c>
      <c r="H210" s="2">
        <v>203.12</v>
      </c>
      <c r="I210" s="2">
        <v>281.22000000000003</v>
      </c>
      <c r="J210" s="2">
        <v>10156</v>
      </c>
      <c r="K210" s="2">
        <v>14061</v>
      </c>
      <c r="L210" s="2">
        <v>3905</v>
      </c>
    </row>
    <row r="211" spans="1:12" x14ac:dyDescent="0.3">
      <c r="A211" s="6">
        <f ca="1">Table1[[#This Row],[Date]]*1</f>
        <v>45346</v>
      </c>
      <c r="B211" t="s">
        <v>37</v>
      </c>
      <c r="C211" t="s">
        <v>2</v>
      </c>
      <c r="D211" t="s">
        <v>14</v>
      </c>
      <c r="E211" t="s">
        <v>31</v>
      </c>
      <c r="F211" t="s">
        <v>29</v>
      </c>
      <c r="G211" s="2">
        <v>7</v>
      </c>
      <c r="H211" s="2">
        <v>416.58</v>
      </c>
      <c r="I211" s="2">
        <v>612.20000000000005</v>
      </c>
      <c r="J211" s="2">
        <v>2916.06</v>
      </c>
      <c r="K211" s="2">
        <v>4285.3999999999996</v>
      </c>
      <c r="L211" s="2">
        <v>1369.34</v>
      </c>
    </row>
    <row r="212" spans="1:12" x14ac:dyDescent="0.3">
      <c r="A212" s="6">
        <f ca="1">Table1[[#This Row],[Date]]*1</f>
        <v>45642</v>
      </c>
      <c r="B212" t="s">
        <v>38</v>
      </c>
      <c r="C212" t="s">
        <v>8</v>
      </c>
      <c r="D212" t="s">
        <v>42</v>
      </c>
      <c r="E212" t="s">
        <v>40</v>
      </c>
      <c r="F212" t="s">
        <v>32</v>
      </c>
      <c r="G212" s="2">
        <v>36</v>
      </c>
      <c r="H212" s="2">
        <v>130.35</v>
      </c>
      <c r="I212" s="2">
        <v>178.96</v>
      </c>
      <c r="J212" s="2">
        <v>4692.6000000000004</v>
      </c>
      <c r="K212" s="2">
        <v>6442.56</v>
      </c>
      <c r="L212" s="2">
        <v>1749.96</v>
      </c>
    </row>
    <row r="213" spans="1:12" x14ac:dyDescent="0.3">
      <c r="A213" s="6">
        <f ca="1">Table1[[#This Row],[Date]]*1</f>
        <v>45617</v>
      </c>
      <c r="B213" t="s">
        <v>39</v>
      </c>
      <c r="C213" t="s">
        <v>6</v>
      </c>
      <c r="D213" t="s">
        <v>7</v>
      </c>
      <c r="E213" t="s">
        <v>40</v>
      </c>
      <c r="F213" t="s">
        <v>29</v>
      </c>
      <c r="G213" s="2">
        <v>8</v>
      </c>
      <c r="H213" s="2">
        <v>557.54999999999995</v>
      </c>
      <c r="I213" s="2">
        <v>827.9</v>
      </c>
      <c r="J213" s="2">
        <v>4460.3999999999996</v>
      </c>
      <c r="K213" s="2">
        <v>6623.2</v>
      </c>
      <c r="L213" s="2">
        <v>2162.8000000000002</v>
      </c>
    </row>
    <row r="214" spans="1:12" x14ac:dyDescent="0.3">
      <c r="A214" s="6">
        <f ca="1">Table1[[#This Row],[Date]]*1</f>
        <v>45655</v>
      </c>
      <c r="B214" t="s">
        <v>34</v>
      </c>
      <c r="C214" t="s">
        <v>11</v>
      </c>
      <c r="D214" t="s">
        <v>12</v>
      </c>
      <c r="E214" t="s">
        <v>33</v>
      </c>
      <c r="F214" t="s">
        <v>29</v>
      </c>
      <c r="G214" s="2">
        <v>2</v>
      </c>
      <c r="H214" s="2">
        <v>917.48</v>
      </c>
      <c r="I214" s="2">
        <v>1185.1300000000001</v>
      </c>
      <c r="J214" s="2">
        <v>1834.96</v>
      </c>
      <c r="K214" s="2">
        <v>2370.2600000000002</v>
      </c>
      <c r="L214" s="2">
        <v>535.29999999999995</v>
      </c>
    </row>
    <row r="215" spans="1:12" x14ac:dyDescent="0.3">
      <c r="A215" s="6">
        <f ca="1">Table1[[#This Row],[Date]]*1</f>
        <v>45374</v>
      </c>
      <c r="B215" t="s">
        <v>37</v>
      </c>
      <c r="C215" t="s">
        <v>2</v>
      </c>
      <c r="D215" t="s">
        <v>14</v>
      </c>
      <c r="E215" t="s">
        <v>33</v>
      </c>
      <c r="F215" t="s">
        <v>29</v>
      </c>
      <c r="G215" s="2">
        <v>27</v>
      </c>
      <c r="H215" s="2">
        <v>128.18</v>
      </c>
      <c r="I215" s="2">
        <v>155.69</v>
      </c>
      <c r="J215" s="2">
        <v>3460.86</v>
      </c>
      <c r="K215" s="2">
        <v>4203.63</v>
      </c>
      <c r="L215" s="2">
        <v>742.77</v>
      </c>
    </row>
    <row r="216" spans="1:12" x14ac:dyDescent="0.3">
      <c r="A216" s="6">
        <f ca="1">Table1[[#This Row],[Date]]*1</f>
        <v>45373</v>
      </c>
      <c r="B216" t="s">
        <v>30</v>
      </c>
      <c r="C216" t="s">
        <v>2</v>
      </c>
      <c r="D216" t="s">
        <v>5</v>
      </c>
      <c r="E216" t="s">
        <v>35</v>
      </c>
      <c r="F216" t="s">
        <v>32</v>
      </c>
      <c r="G216" s="2">
        <v>33</v>
      </c>
      <c r="H216" s="2">
        <v>863.13</v>
      </c>
      <c r="I216" s="2">
        <v>1110.82</v>
      </c>
      <c r="J216" s="2">
        <v>28483.29</v>
      </c>
      <c r="K216" s="2">
        <v>36657.06</v>
      </c>
      <c r="L216" s="2">
        <v>8173.77</v>
      </c>
    </row>
    <row r="217" spans="1:12" x14ac:dyDescent="0.3">
      <c r="A217" s="6">
        <f ca="1">Table1[[#This Row],[Date]]*1</f>
        <v>45568</v>
      </c>
      <c r="B217" t="s">
        <v>44</v>
      </c>
      <c r="C217" t="s">
        <v>8</v>
      </c>
      <c r="D217" t="s">
        <v>42</v>
      </c>
      <c r="E217" t="s">
        <v>40</v>
      </c>
      <c r="F217" t="s">
        <v>29</v>
      </c>
      <c r="G217" s="2">
        <v>32</v>
      </c>
      <c r="H217" s="2">
        <v>80.81</v>
      </c>
      <c r="I217" s="2">
        <v>107.44</v>
      </c>
      <c r="J217" s="2">
        <v>2585.92</v>
      </c>
      <c r="K217" s="2">
        <v>3438.08</v>
      </c>
      <c r="L217" s="2">
        <v>852.16</v>
      </c>
    </row>
    <row r="218" spans="1:12" x14ac:dyDescent="0.3">
      <c r="A218" s="6">
        <f ca="1">Table1[[#This Row],[Date]]*1</f>
        <v>45520</v>
      </c>
      <c r="B218" t="s">
        <v>37</v>
      </c>
      <c r="C218" t="s">
        <v>6</v>
      </c>
      <c r="D218" t="s">
        <v>7</v>
      </c>
      <c r="E218" t="s">
        <v>33</v>
      </c>
      <c r="F218" t="s">
        <v>32</v>
      </c>
      <c r="G218" s="2">
        <v>11</v>
      </c>
      <c r="H218" s="2">
        <v>991.87</v>
      </c>
      <c r="I218" s="2">
        <v>1101.98</v>
      </c>
      <c r="J218" s="2">
        <v>10910.57</v>
      </c>
      <c r="K218" s="2">
        <v>12121.78</v>
      </c>
      <c r="L218" s="2">
        <v>1211.21</v>
      </c>
    </row>
    <row r="219" spans="1:12" x14ac:dyDescent="0.3">
      <c r="A219" s="6">
        <f ca="1">Table1[[#This Row],[Date]]*1</f>
        <v>45607</v>
      </c>
      <c r="B219" t="s">
        <v>30</v>
      </c>
      <c r="C219" t="s">
        <v>8</v>
      </c>
      <c r="D219" t="s">
        <v>42</v>
      </c>
      <c r="E219" t="s">
        <v>40</v>
      </c>
      <c r="F219" t="s">
        <v>32</v>
      </c>
      <c r="G219" s="2">
        <v>21</v>
      </c>
      <c r="H219" s="2">
        <v>188.17</v>
      </c>
      <c r="I219" s="2">
        <v>253.44</v>
      </c>
      <c r="J219" s="2">
        <v>3951.57</v>
      </c>
      <c r="K219" s="2">
        <v>5322.24</v>
      </c>
      <c r="L219" s="2">
        <v>1370.67</v>
      </c>
    </row>
    <row r="220" spans="1:12" x14ac:dyDescent="0.3">
      <c r="A220" s="6">
        <f ca="1">Table1[[#This Row],[Date]]*1</f>
        <v>45444</v>
      </c>
      <c r="B220" t="s">
        <v>39</v>
      </c>
      <c r="C220" t="s">
        <v>2</v>
      </c>
      <c r="D220" t="s">
        <v>5</v>
      </c>
      <c r="E220" t="s">
        <v>35</v>
      </c>
      <c r="F220" t="s">
        <v>29</v>
      </c>
      <c r="G220" s="2">
        <v>34</v>
      </c>
      <c r="H220" s="2">
        <v>871.82</v>
      </c>
      <c r="I220" s="2">
        <v>1113.1600000000001</v>
      </c>
      <c r="J220" s="2">
        <v>29641.88</v>
      </c>
      <c r="K220" s="2">
        <v>37847.440000000002</v>
      </c>
      <c r="L220" s="2">
        <v>8205.56</v>
      </c>
    </row>
    <row r="221" spans="1:12" x14ac:dyDescent="0.3">
      <c r="A221" s="6">
        <f ca="1">Table1[[#This Row],[Date]]*1</f>
        <v>45538</v>
      </c>
      <c r="B221" t="s">
        <v>44</v>
      </c>
      <c r="C221" t="s">
        <v>2</v>
      </c>
      <c r="D221" t="s">
        <v>3</v>
      </c>
      <c r="E221" t="s">
        <v>33</v>
      </c>
      <c r="F221" t="s">
        <v>29</v>
      </c>
      <c r="G221" s="2">
        <v>28</v>
      </c>
      <c r="H221" s="2">
        <v>339.99</v>
      </c>
      <c r="I221" s="2">
        <v>385.54</v>
      </c>
      <c r="J221" s="2">
        <v>9519.7199999999993</v>
      </c>
      <c r="K221" s="2">
        <v>10795.12</v>
      </c>
      <c r="L221" s="2">
        <v>1275.4000000000001</v>
      </c>
    </row>
    <row r="222" spans="1:12" x14ac:dyDescent="0.3">
      <c r="A222" s="6">
        <f ca="1">Table1[[#This Row],[Date]]*1</f>
        <v>45653</v>
      </c>
      <c r="B222" t="s">
        <v>36</v>
      </c>
      <c r="C222" t="s">
        <v>6</v>
      </c>
      <c r="D222" t="s">
        <v>10</v>
      </c>
      <c r="E222" t="s">
        <v>33</v>
      </c>
      <c r="F222" t="s">
        <v>29</v>
      </c>
      <c r="G222" s="2">
        <v>42</v>
      </c>
      <c r="H222" s="2">
        <v>310.06</v>
      </c>
      <c r="I222" s="2">
        <v>378.71</v>
      </c>
      <c r="J222" s="2">
        <v>13022.52</v>
      </c>
      <c r="K222" s="2">
        <v>15905.82</v>
      </c>
      <c r="L222" s="2">
        <v>2883.3</v>
      </c>
    </row>
    <row r="223" spans="1:12" x14ac:dyDescent="0.3">
      <c r="A223" s="6">
        <f ca="1">Table1[[#This Row],[Date]]*1</f>
        <v>45536</v>
      </c>
      <c r="B223" t="s">
        <v>36</v>
      </c>
      <c r="C223" t="s">
        <v>6</v>
      </c>
      <c r="D223" t="s">
        <v>17</v>
      </c>
      <c r="E223" t="s">
        <v>31</v>
      </c>
      <c r="F223" t="s">
        <v>32</v>
      </c>
      <c r="G223" s="2">
        <v>20</v>
      </c>
      <c r="H223" s="2">
        <v>936.31</v>
      </c>
      <c r="I223" s="2">
        <v>1081.75</v>
      </c>
      <c r="J223" s="2">
        <v>18726.2</v>
      </c>
      <c r="K223" s="2">
        <v>21635</v>
      </c>
      <c r="L223" s="2">
        <v>2908.8</v>
      </c>
    </row>
    <row r="224" spans="1:12" x14ac:dyDescent="0.3">
      <c r="A224" s="6">
        <f ca="1">Table1[[#This Row],[Date]]*1</f>
        <v>45400</v>
      </c>
      <c r="B224" t="s">
        <v>37</v>
      </c>
      <c r="C224" t="s">
        <v>6</v>
      </c>
      <c r="D224" t="s">
        <v>10</v>
      </c>
      <c r="E224" t="s">
        <v>35</v>
      </c>
      <c r="F224" t="s">
        <v>29</v>
      </c>
      <c r="G224" s="2">
        <v>30</v>
      </c>
      <c r="H224" s="2">
        <v>608.99</v>
      </c>
      <c r="I224" s="2">
        <v>684.51</v>
      </c>
      <c r="J224" s="2">
        <v>18269.7</v>
      </c>
      <c r="K224" s="2">
        <v>20535.3</v>
      </c>
      <c r="L224" s="2">
        <v>2265.6</v>
      </c>
    </row>
    <row r="225" spans="1:12" x14ac:dyDescent="0.3">
      <c r="A225" s="6">
        <f ca="1">Table1[[#This Row],[Date]]*1</f>
        <v>45466</v>
      </c>
      <c r="B225" t="s">
        <v>41</v>
      </c>
      <c r="C225" t="s">
        <v>6</v>
      </c>
      <c r="D225" t="s">
        <v>10</v>
      </c>
      <c r="E225" t="s">
        <v>40</v>
      </c>
      <c r="F225" t="s">
        <v>29</v>
      </c>
      <c r="G225" s="2">
        <v>22</v>
      </c>
      <c r="H225" s="2">
        <v>88.77</v>
      </c>
      <c r="I225" s="2">
        <v>101.3</v>
      </c>
      <c r="J225" s="2">
        <v>1952.94</v>
      </c>
      <c r="K225" s="2">
        <v>2228.6</v>
      </c>
      <c r="L225" s="2">
        <v>275.66000000000003</v>
      </c>
    </row>
    <row r="226" spans="1:12" x14ac:dyDescent="0.3">
      <c r="A226" s="6">
        <f ca="1">Table1[[#This Row],[Date]]*1</f>
        <v>45399</v>
      </c>
      <c r="B226" t="s">
        <v>37</v>
      </c>
      <c r="C226" t="s">
        <v>8</v>
      </c>
      <c r="D226" t="s">
        <v>42</v>
      </c>
      <c r="E226" t="s">
        <v>35</v>
      </c>
      <c r="F226" t="s">
        <v>32</v>
      </c>
      <c r="G226" s="2">
        <v>30</v>
      </c>
      <c r="H226" s="2">
        <v>776.22</v>
      </c>
      <c r="I226" s="2">
        <v>1106.93</v>
      </c>
      <c r="J226" s="2">
        <v>23286.6</v>
      </c>
      <c r="K226" s="2">
        <v>33207.9</v>
      </c>
      <c r="L226" s="2">
        <v>9921.2999999999993</v>
      </c>
    </row>
    <row r="227" spans="1:12" x14ac:dyDescent="0.3">
      <c r="A227" s="6">
        <f ca="1">Table1[[#This Row],[Date]]*1</f>
        <v>45455</v>
      </c>
      <c r="B227" t="s">
        <v>34</v>
      </c>
      <c r="C227" t="s">
        <v>8</v>
      </c>
      <c r="D227" t="s">
        <v>9</v>
      </c>
      <c r="E227" t="s">
        <v>4</v>
      </c>
      <c r="F227" t="s">
        <v>29</v>
      </c>
      <c r="G227" s="2">
        <v>17</v>
      </c>
      <c r="H227" s="2">
        <v>158.86000000000001</v>
      </c>
      <c r="I227" s="2">
        <v>216.79</v>
      </c>
      <c r="J227" s="2">
        <v>2700.62</v>
      </c>
      <c r="K227" s="2">
        <v>3685.43</v>
      </c>
      <c r="L227" s="2">
        <v>984.81</v>
      </c>
    </row>
    <row r="228" spans="1:12" x14ac:dyDescent="0.3">
      <c r="A228" s="6">
        <f ca="1">Table1[[#This Row],[Date]]*1</f>
        <v>45533</v>
      </c>
      <c r="B228" t="s">
        <v>45</v>
      </c>
      <c r="C228" t="s">
        <v>2</v>
      </c>
      <c r="D228" t="s">
        <v>14</v>
      </c>
      <c r="E228" t="s">
        <v>35</v>
      </c>
      <c r="F228" t="s">
        <v>29</v>
      </c>
      <c r="G228" s="2">
        <v>12</v>
      </c>
      <c r="H228" s="2">
        <v>644.42999999999995</v>
      </c>
      <c r="I228" s="2">
        <v>760.59</v>
      </c>
      <c r="J228" s="2">
        <v>7733.16</v>
      </c>
      <c r="K228" s="2">
        <v>9127.08</v>
      </c>
      <c r="L228" s="2">
        <v>1393.92</v>
      </c>
    </row>
    <row r="229" spans="1:12" x14ac:dyDescent="0.3">
      <c r="A229" s="6">
        <f ca="1">Table1[[#This Row],[Date]]*1</f>
        <v>45593</v>
      </c>
      <c r="B229" t="s">
        <v>37</v>
      </c>
      <c r="C229" t="s">
        <v>2</v>
      </c>
      <c r="D229" t="s">
        <v>3</v>
      </c>
      <c r="E229" t="s">
        <v>4</v>
      </c>
      <c r="F229" t="s">
        <v>32</v>
      </c>
      <c r="G229" s="2">
        <v>40</v>
      </c>
      <c r="H229" s="2">
        <v>153.35</v>
      </c>
      <c r="I229" s="2">
        <v>211.7</v>
      </c>
      <c r="J229" s="2">
        <v>6134</v>
      </c>
      <c r="K229" s="2">
        <v>8468</v>
      </c>
      <c r="L229" s="2">
        <v>2334</v>
      </c>
    </row>
    <row r="230" spans="1:12" x14ac:dyDescent="0.3">
      <c r="A230" s="6">
        <f ca="1">Table1[[#This Row],[Date]]*1</f>
        <v>45631</v>
      </c>
      <c r="B230" t="s">
        <v>44</v>
      </c>
      <c r="C230" t="s">
        <v>6</v>
      </c>
      <c r="D230" t="s">
        <v>17</v>
      </c>
      <c r="E230" t="s">
        <v>35</v>
      </c>
      <c r="F230" t="s">
        <v>29</v>
      </c>
      <c r="G230" s="2">
        <v>26</v>
      </c>
      <c r="H230" s="2">
        <v>343.6</v>
      </c>
      <c r="I230" s="2">
        <v>392.71</v>
      </c>
      <c r="J230" s="2">
        <v>8933.6</v>
      </c>
      <c r="K230" s="2">
        <v>10210.459999999999</v>
      </c>
      <c r="L230" s="2">
        <v>1276.8599999999999</v>
      </c>
    </row>
    <row r="231" spans="1:12" x14ac:dyDescent="0.3">
      <c r="A231" s="6">
        <f ca="1">Table1[[#This Row],[Date]]*1</f>
        <v>45619</v>
      </c>
      <c r="B231" t="s">
        <v>44</v>
      </c>
      <c r="C231" t="s">
        <v>6</v>
      </c>
      <c r="D231" t="s">
        <v>10</v>
      </c>
      <c r="E231" t="s">
        <v>35</v>
      </c>
      <c r="F231" t="s">
        <v>29</v>
      </c>
      <c r="G231" s="2">
        <v>2</v>
      </c>
      <c r="H231" s="2">
        <v>475.76</v>
      </c>
      <c r="I231" s="2">
        <v>567.46</v>
      </c>
      <c r="J231" s="2">
        <v>951.52</v>
      </c>
      <c r="K231" s="2">
        <v>1134.92</v>
      </c>
      <c r="L231" s="2">
        <v>183.4</v>
      </c>
    </row>
    <row r="232" spans="1:12" x14ac:dyDescent="0.3">
      <c r="A232" s="6">
        <f ca="1">Table1[[#This Row],[Date]]*1</f>
        <v>45437</v>
      </c>
      <c r="B232" t="s">
        <v>36</v>
      </c>
      <c r="C232" t="s">
        <v>2</v>
      </c>
      <c r="D232" t="s">
        <v>3</v>
      </c>
      <c r="E232" t="s">
        <v>31</v>
      </c>
      <c r="F232" t="s">
        <v>29</v>
      </c>
      <c r="G232" s="2">
        <v>21</v>
      </c>
      <c r="H232" s="2">
        <v>448.82</v>
      </c>
      <c r="I232" s="2">
        <v>600.78</v>
      </c>
      <c r="J232" s="2">
        <v>9425.2199999999993</v>
      </c>
      <c r="K232" s="2">
        <v>12616.38</v>
      </c>
      <c r="L232" s="2">
        <v>3191.16</v>
      </c>
    </row>
    <row r="233" spans="1:12" x14ac:dyDescent="0.3">
      <c r="A233" s="6">
        <f ca="1">Table1[[#This Row],[Date]]*1</f>
        <v>45502</v>
      </c>
      <c r="B233" t="s">
        <v>30</v>
      </c>
      <c r="C233" t="s">
        <v>8</v>
      </c>
      <c r="D233" t="s">
        <v>42</v>
      </c>
      <c r="E233" t="s">
        <v>31</v>
      </c>
      <c r="F233" t="s">
        <v>32</v>
      </c>
      <c r="G233" s="2">
        <v>10</v>
      </c>
      <c r="H233" s="2">
        <v>428.35</v>
      </c>
      <c r="I233" s="2">
        <v>506.42</v>
      </c>
      <c r="J233" s="2">
        <v>4283.5</v>
      </c>
      <c r="K233" s="2">
        <v>5064.2</v>
      </c>
      <c r="L233" s="2">
        <v>780.7</v>
      </c>
    </row>
    <row r="234" spans="1:12" x14ac:dyDescent="0.3">
      <c r="A234" s="6">
        <f ca="1">Table1[[#This Row],[Date]]*1</f>
        <v>45600</v>
      </c>
      <c r="B234" t="s">
        <v>44</v>
      </c>
      <c r="C234" t="s">
        <v>6</v>
      </c>
      <c r="D234" t="s">
        <v>7</v>
      </c>
      <c r="E234" t="s">
        <v>33</v>
      </c>
      <c r="F234" t="s">
        <v>29</v>
      </c>
      <c r="G234" s="2">
        <v>49</v>
      </c>
      <c r="H234" s="2">
        <v>877.78</v>
      </c>
      <c r="I234" s="2">
        <v>1092.52</v>
      </c>
      <c r="J234" s="2">
        <v>43011.22</v>
      </c>
      <c r="K234" s="2">
        <v>53533.48</v>
      </c>
      <c r="L234" s="2">
        <v>10522.26</v>
      </c>
    </row>
    <row r="235" spans="1:12" x14ac:dyDescent="0.3">
      <c r="A235" s="6">
        <f ca="1">Table1[[#This Row],[Date]]*1</f>
        <v>45369</v>
      </c>
      <c r="B235" t="s">
        <v>28</v>
      </c>
      <c r="C235" t="s">
        <v>6</v>
      </c>
      <c r="D235" t="s">
        <v>7</v>
      </c>
      <c r="E235" t="s">
        <v>33</v>
      </c>
      <c r="F235" t="s">
        <v>32</v>
      </c>
      <c r="G235" s="2">
        <v>40</v>
      </c>
      <c r="H235" s="2">
        <v>777.81</v>
      </c>
      <c r="I235" s="2">
        <v>1039.92</v>
      </c>
      <c r="J235" s="2">
        <v>31112.400000000001</v>
      </c>
      <c r="K235" s="2">
        <v>41596.800000000003</v>
      </c>
      <c r="L235" s="2">
        <v>10484.4</v>
      </c>
    </row>
    <row r="236" spans="1:12" x14ac:dyDescent="0.3">
      <c r="A236" s="6">
        <f ca="1">Table1[[#This Row],[Date]]*1</f>
        <v>45446</v>
      </c>
      <c r="B236" t="s">
        <v>45</v>
      </c>
      <c r="C236" t="s">
        <v>2</v>
      </c>
      <c r="D236" t="s">
        <v>14</v>
      </c>
      <c r="E236" t="s">
        <v>31</v>
      </c>
      <c r="F236" t="s">
        <v>29</v>
      </c>
      <c r="G236" s="2">
        <v>15</v>
      </c>
      <c r="H236" s="2">
        <v>531.62</v>
      </c>
      <c r="I236" s="2">
        <v>620.01</v>
      </c>
      <c r="J236" s="2">
        <v>7974.3</v>
      </c>
      <c r="K236" s="2">
        <v>9300.15</v>
      </c>
      <c r="L236" s="2">
        <v>1325.85</v>
      </c>
    </row>
    <row r="237" spans="1:12" x14ac:dyDescent="0.3">
      <c r="A237" s="6">
        <f ca="1">Table1[[#This Row],[Date]]*1</f>
        <v>45574</v>
      </c>
      <c r="B237" t="s">
        <v>39</v>
      </c>
      <c r="C237" t="s">
        <v>2</v>
      </c>
      <c r="D237" t="s">
        <v>3</v>
      </c>
      <c r="E237" t="s">
        <v>4</v>
      </c>
      <c r="F237" t="s">
        <v>32</v>
      </c>
      <c r="G237" s="2">
        <v>46</v>
      </c>
      <c r="H237" s="2">
        <v>487.64</v>
      </c>
      <c r="I237" s="2">
        <v>565.33000000000004</v>
      </c>
      <c r="J237" s="2">
        <v>22431.439999999999</v>
      </c>
      <c r="K237" s="2">
        <v>26005.18</v>
      </c>
      <c r="L237" s="2">
        <v>3573.74</v>
      </c>
    </row>
    <row r="238" spans="1:12" x14ac:dyDescent="0.3">
      <c r="A238" s="6">
        <f ca="1">Table1[[#This Row],[Date]]*1</f>
        <v>45553</v>
      </c>
      <c r="B238" t="s">
        <v>41</v>
      </c>
      <c r="C238" t="s">
        <v>11</v>
      </c>
      <c r="D238" t="s">
        <v>13</v>
      </c>
      <c r="E238" t="s">
        <v>43</v>
      </c>
      <c r="F238" t="s">
        <v>32</v>
      </c>
      <c r="G238" s="2">
        <v>18</v>
      </c>
      <c r="H238" s="2">
        <v>470.66</v>
      </c>
      <c r="I238" s="2">
        <v>609.46</v>
      </c>
      <c r="J238" s="2">
        <v>8471.8799999999992</v>
      </c>
      <c r="K238" s="2">
        <v>10970.28</v>
      </c>
      <c r="L238" s="2">
        <v>2498.4</v>
      </c>
    </row>
    <row r="239" spans="1:12" x14ac:dyDescent="0.3">
      <c r="A239" s="6">
        <f ca="1">Table1[[#This Row],[Date]]*1</f>
        <v>45599</v>
      </c>
      <c r="B239" t="s">
        <v>39</v>
      </c>
      <c r="C239" t="s">
        <v>11</v>
      </c>
      <c r="D239" t="s">
        <v>12</v>
      </c>
      <c r="E239" t="s">
        <v>4</v>
      </c>
      <c r="F239" t="s">
        <v>32</v>
      </c>
      <c r="G239" s="2">
        <v>38</v>
      </c>
      <c r="H239" s="2">
        <v>651.78</v>
      </c>
      <c r="I239" s="2">
        <v>755.58</v>
      </c>
      <c r="J239" s="2">
        <v>24767.64</v>
      </c>
      <c r="K239" s="2">
        <v>28712.04</v>
      </c>
      <c r="L239" s="2">
        <v>3944.4</v>
      </c>
    </row>
    <row r="240" spans="1:12" x14ac:dyDescent="0.3">
      <c r="A240" s="6">
        <f ca="1">Table1[[#This Row],[Date]]*1</f>
        <v>45449</v>
      </c>
      <c r="B240" t="s">
        <v>41</v>
      </c>
      <c r="C240" t="s">
        <v>2</v>
      </c>
      <c r="D240" t="s">
        <v>14</v>
      </c>
      <c r="E240" t="s">
        <v>31</v>
      </c>
      <c r="F240" t="s">
        <v>29</v>
      </c>
      <c r="G240" s="2">
        <v>34</v>
      </c>
      <c r="H240" s="2">
        <v>97.95</v>
      </c>
      <c r="I240" s="2">
        <v>136.93</v>
      </c>
      <c r="J240" s="2">
        <v>3330.3</v>
      </c>
      <c r="K240" s="2">
        <v>4655.62</v>
      </c>
      <c r="L240" s="2">
        <v>1325.32</v>
      </c>
    </row>
    <row r="241" spans="1:12" x14ac:dyDescent="0.3">
      <c r="A241" s="6">
        <f ca="1">Table1[[#This Row],[Date]]*1</f>
        <v>45419</v>
      </c>
      <c r="B241" t="s">
        <v>44</v>
      </c>
      <c r="C241" t="s">
        <v>2</v>
      </c>
      <c r="D241" t="s">
        <v>14</v>
      </c>
      <c r="E241" t="s">
        <v>31</v>
      </c>
      <c r="F241" t="s">
        <v>32</v>
      </c>
      <c r="G241" s="2">
        <v>20</v>
      </c>
      <c r="H241" s="2">
        <v>294.76</v>
      </c>
      <c r="I241" s="2">
        <v>426.21</v>
      </c>
      <c r="J241" s="2">
        <v>5895.2</v>
      </c>
      <c r="K241" s="2">
        <v>8524.2000000000007</v>
      </c>
      <c r="L241" s="2">
        <v>2629</v>
      </c>
    </row>
    <row r="242" spans="1:12" x14ac:dyDescent="0.3">
      <c r="A242" s="6">
        <f ca="1">Table1[[#This Row],[Date]]*1</f>
        <v>45558</v>
      </c>
      <c r="B242" t="s">
        <v>38</v>
      </c>
      <c r="C242" t="s">
        <v>11</v>
      </c>
      <c r="D242" t="s">
        <v>13</v>
      </c>
      <c r="E242" t="s">
        <v>31</v>
      </c>
      <c r="F242" t="s">
        <v>32</v>
      </c>
      <c r="G242" s="2">
        <v>24</v>
      </c>
      <c r="H242" s="2">
        <v>649.51</v>
      </c>
      <c r="I242" s="2">
        <v>876.56</v>
      </c>
      <c r="J242" s="2">
        <v>15588.24</v>
      </c>
      <c r="K242" s="2">
        <v>21037.439999999999</v>
      </c>
      <c r="L242" s="2">
        <v>5449.2</v>
      </c>
    </row>
    <row r="243" spans="1:12" x14ac:dyDescent="0.3">
      <c r="A243" s="6">
        <f ca="1">Table1[[#This Row],[Date]]*1</f>
        <v>45437</v>
      </c>
      <c r="B243" t="s">
        <v>44</v>
      </c>
      <c r="C243" t="s">
        <v>6</v>
      </c>
      <c r="D243" t="s">
        <v>17</v>
      </c>
      <c r="E243" t="s">
        <v>33</v>
      </c>
      <c r="F243" t="s">
        <v>29</v>
      </c>
      <c r="G243" s="2">
        <v>11</v>
      </c>
      <c r="H243" s="2">
        <v>593.87</v>
      </c>
      <c r="I243" s="2">
        <v>843.45</v>
      </c>
      <c r="J243" s="2">
        <v>6532.57</v>
      </c>
      <c r="K243" s="2">
        <v>9277.9500000000007</v>
      </c>
      <c r="L243" s="2">
        <v>2745.38</v>
      </c>
    </row>
    <row r="244" spans="1:12" x14ac:dyDescent="0.3">
      <c r="A244" s="6">
        <f ca="1">Table1[[#This Row],[Date]]*1</f>
        <v>45447</v>
      </c>
      <c r="B244" t="s">
        <v>39</v>
      </c>
      <c r="C244" t="s">
        <v>6</v>
      </c>
      <c r="D244" t="s">
        <v>17</v>
      </c>
      <c r="E244" t="s">
        <v>31</v>
      </c>
      <c r="F244" t="s">
        <v>32</v>
      </c>
      <c r="G244" s="2">
        <v>47</v>
      </c>
      <c r="H244" s="2">
        <v>325.11</v>
      </c>
      <c r="I244" s="2">
        <v>443.76</v>
      </c>
      <c r="J244" s="2">
        <v>15280.17</v>
      </c>
      <c r="K244" s="2">
        <v>20856.72</v>
      </c>
      <c r="L244" s="2">
        <v>5576.55</v>
      </c>
    </row>
    <row r="245" spans="1:12" x14ac:dyDescent="0.3">
      <c r="A245" s="6">
        <f ca="1">Table1[[#This Row],[Date]]*1</f>
        <v>45409</v>
      </c>
      <c r="B245" t="s">
        <v>36</v>
      </c>
      <c r="C245" t="s">
        <v>6</v>
      </c>
      <c r="D245" t="s">
        <v>10</v>
      </c>
      <c r="E245" t="s">
        <v>35</v>
      </c>
      <c r="F245" t="s">
        <v>29</v>
      </c>
      <c r="G245" s="2">
        <v>21</v>
      </c>
      <c r="H245" s="2">
        <v>676.86</v>
      </c>
      <c r="I245" s="2">
        <v>914.96</v>
      </c>
      <c r="J245" s="2">
        <v>14214.06</v>
      </c>
      <c r="K245" s="2">
        <v>19214.16</v>
      </c>
      <c r="L245" s="2">
        <v>5000.1000000000004</v>
      </c>
    </row>
    <row r="246" spans="1:12" x14ac:dyDescent="0.3">
      <c r="A246" s="6">
        <f ca="1">Table1[[#This Row],[Date]]*1</f>
        <v>45576</v>
      </c>
      <c r="B246" t="s">
        <v>38</v>
      </c>
      <c r="C246" t="s">
        <v>2</v>
      </c>
      <c r="D246" t="s">
        <v>14</v>
      </c>
      <c r="E246" t="s">
        <v>35</v>
      </c>
      <c r="F246" t="s">
        <v>29</v>
      </c>
      <c r="G246" s="2">
        <v>14</v>
      </c>
      <c r="H246" s="2">
        <v>292.47000000000003</v>
      </c>
      <c r="I246" s="2">
        <v>373.12</v>
      </c>
      <c r="J246" s="2">
        <v>4094.58</v>
      </c>
      <c r="K246" s="2">
        <v>5223.68</v>
      </c>
      <c r="L246" s="2">
        <v>1129.0999999999999</v>
      </c>
    </row>
    <row r="247" spans="1:12" x14ac:dyDescent="0.3">
      <c r="A247" s="6">
        <f ca="1">Table1[[#This Row],[Date]]*1</f>
        <v>45516</v>
      </c>
      <c r="B247" t="s">
        <v>44</v>
      </c>
      <c r="C247" t="s">
        <v>6</v>
      </c>
      <c r="D247" t="s">
        <v>17</v>
      </c>
      <c r="E247" t="s">
        <v>33</v>
      </c>
      <c r="F247" t="s">
        <v>32</v>
      </c>
      <c r="G247" s="2">
        <v>33</v>
      </c>
      <c r="H247" s="2">
        <v>224.82</v>
      </c>
      <c r="I247" s="2">
        <v>331.57</v>
      </c>
      <c r="J247" s="2">
        <v>7419.06</v>
      </c>
      <c r="K247" s="2">
        <v>10941.81</v>
      </c>
      <c r="L247" s="2">
        <v>3522.75</v>
      </c>
    </row>
    <row r="248" spans="1:12" x14ac:dyDescent="0.3">
      <c r="A248" s="6">
        <f ca="1">Table1[[#This Row],[Date]]*1</f>
        <v>45541</v>
      </c>
      <c r="B248" t="s">
        <v>30</v>
      </c>
      <c r="C248" t="s">
        <v>11</v>
      </c>
      <c r="D248" t="s">
        <v>15</v>
      </c>
      <c r="E248" t="s">
        <v>40</v>
      </c>
      <c r="F248" t="s">
        <v>32</v>
      </c>
      <c r="G248" s="2">
        <v>9</v>
      </c>
      <c r="H248" s="2">
        <v>411.6</v>
      </c>
      <c r="I248" s="2">
        <v>523.47</v>
      </c>
      <c r="J248" s="2">
        <v>3704.4</v>
      </c>
      <c r="K248" s="2">
        <v>4711.2299999999996</v>
      </c>
      <c r="L248" s="2">
        <v>1006.83</v>
      </c>
    </row>
    <row r="249" spans="1:12" x14ac:dyDescent="0.3">
      <c r="A249" s="6">
        <f ca="1">Table1[[#This Row],[Date]]*1</f>
        <v>45632</v>
      </c>
      <c r="B249" t="s">
        <v>39</v>
      </c>
      <c r="C249" t="s">
        <v>8</v>
      </c>
      <c r="D249" t="s">
        <v>9</v>
      </c>
      <c r="E249" t="s">
        <v>33</v>
      </c>
      <c r="F249" t="s">
        <v>32</v>
      </c>
      <c r="G249" s="2">
        <v>45</v>
      </c>
      <c r="H249" s="2">
        <v>813.54</v>
      </c>
      <c r="I249" s="2">
        <v>1127.44</v>
      </c>
      <c r="J249" s="2">
        <v>36609.300000000003</v>
      </c>
      <c r="K249" s="2">
        <v>50734.8</v>
      </c>
      <c r="L249" s="2">
        <v>14125.5</v>
      </c>
    </row>
    <row r="250" spans="1:12" x14ac:dyDescent="0.3">
      <c r="A250" s="6">
        <f ca="1">Table1[[#This Row],[Date]]*1</f>
        <v>45621</v>
      </c>
      <c r="B250" t="s">
        <v>45</v>
      </c>
      <c r="C250" t="s">
        <v>11</v>
      </c>
      <c r="D250" t="s">
        <v>12</v>
      </c>
      <c r="E250" t="s">
        <v>40</v>
      </c>
      <c r="F250" t="s">
        <v>29</v>
      </c>
      <c r="G250" s="2">
        <v>32</v>
      </c>
      <c r="H250" s="2">
        <v>959.02</v>
      </c>
      <c r="I250" s="2">
        <v>1058.75</v>
      </c>
      <c r="J250" s="2">
        <v>30688.639999999999</v>
      </c>
      <c r="K250" s="2">
        <v>33880</v>
      </c>
      <c r="L250" s="2">
        <v>3191.36</v>
      </c>
    </row>
    <row r="251" spans="1:12" x14ac:dyDescent="0.3">
      <c r="A251" s="6">
        <f ca="1">Table1[[#This Row],[Date]]*1</f>
        <v>45624</v>
      </c>
      <c r="B251" t="s">
        <v>36</v>
      </c>
      <c r="C251" t="s">
        <v>8</v>
      </c>
      <c r="D251" t="s">
        <v>16</v>
      </c>
      <c r="E251" t="s">
        <v>35</v>
      </c>
      <c r="F251" t="s">
        <v>29</v>
      </c>
      <c r="G251" s="2">
        <v>30</v>
      </c>
      <c r="H251" s="2">
        <v>127.95</v>
      </c>
      <c r="I251" s="2">
        <v>147.22999999999999</v>
      </c>
      <c r="J251" s="2">
        <v>3838.5</v>
      </c>
      <c r="K251" s="2">
        <v>4416.8999999999996</v>
      </c>
      <c r="L251" s="2">
        <v>578.4</v>
      </c>
    </row>
    <row r="252" spans="1:12" x14ac:dyDescent="0.3">
      <c r="A252" s="6">
        <f ca="1">Table1[[#This Row],[Date]]*1</f>
        <v>45591</v>
      </c>
      <c r="B252" t="s">
        <v>34</v>
      </c>
      <c r="C252" t="s">
        <v>11</v>
      </c>
      <c r="D252" t="s">
        <v>15</v>
      </c>
      <c r="E252" t="s">
        <v>33</v>
      </c>
      <c r="F252" t="s">
        <v>29</v>
      </c>
      <c r="G252" s="2">
        <v>15</v>
      </c>
      <c r="H252" s="2">
        <v>887.95</v>
      </c>
      <c r="I252" s="2">
        <v>995.06</v>
      </c>
      <c r="J252" s="2">
        <v>13319.25</v>
      </c>
      <c r="K252" s="2">
        <v>14925.9</v>
      </c>
      <c r="L252" s="2">
        <v>1606.65</v>
      </c>
    </row>
    <row r="253" spans="1:12" x14ac:dyDescent="0.3">
      <c r="A253" s="6">
        <f ca="1">Table1[[#This Row],[Date]]*1</f>
        <v>45612</v>
      </c>
      <c r="B253" t="s">
        <v>41</v>
      </c>
      <c r="C253" t="s">
        <v>11</v>
      </c>
      <c r="D253" t="s">
        <v>15</v>
      </c>
      <c r="E253" t="s">
        <v>4</v>
      </c>
      <c r="F253" t="s">
        <v>32</v>
      </c>
      <c r="G253" s="2">
        <v>29</v>
      </c>
      <c r="H253" s="2">
        <v>869.58</v>
      </c>
      <c r="I253" s="2">
        <v>1048.67</v>
      </c>
      <c r="J253" s="2">
        <v>25217.82</v>
      </c>
      <c r="K253" s="2">
        <v>30411.43</v>
      </c>
      <c r="L253" s="2">
        <v>5193.6099999999997</v>
      </c>
    </row>
    <row r="254" spans="1:12" x14ac:dyDescent="0.3">
      <c r="A254" s="6">
        <f ca="1">Table1[[#This Row],[Date]]*1</f>
        <v>45395</v>
      </c>
      <c r="B254" t="s">
        <v>38</v>
      </c>
      <c r="C254" t="s">
        <v>2</v>
      </c>
      <c r="D254" t="s">
        <v>3</v>
      </c>
      <c r="E254" t="s">
        <v>35</v>
      </c>
      <c r="F254" t="s">
        <v>29</v>
      </c>
      <c r="G254" s="2">
        <v>17</v>
      </c>
      <c r="H254" s="2">
        <v>643.02</v>
      </c>
      <c r="I254" s="2">
        <v>805.13</v>
      </c>
      <c r="J254" s="2">
        <v>10931.34</v>
      </c>
      <c r="K254" s="2">
        <v>13687.21</v>
      </c>
      <c r="L254" s="2">
        <v>2755.87</v>
      </c>
    </row>
    <row r="255" spans="1:12" x14ac:dyDescent="0.3">
      <c r="A255" s="6">
        <f ca="1">Table1[[#This Row],[Date]]*1</f>
        <v>45604</v>
      </c>
      <c r="B255" t="s">
        <v>37</v>
      </c>
      <c r="C255" t="s">
        <v>6</v>
      </c>
      <c r="D255" t="s">
        <v>7</v>
      </c>
      <c r="E255" t="s">
        <v>4</v>
      </c>
      <c r="F255" t="s">
        <v>29</v>
      </c>
      <c r="G255" s="2">
        <v>48</v>
      </c>
      <c r="H255" s="2">
        <v>87.17</v>
      </c>
      <c r="I255" s="2">
        <v>107.07</v>
      </c>
      <c r="J255" s="2">
        <v>4184.16</v>
      </c>
      <c r="K255" s="2">
        <v>5139.3599999999997</v>
      </c>
      <c r="L255" s="2">
        <v>955.2</v>
      </c>
    </row>
    <row r="256" spans="1:12" x14ac:dyDescent="0.3">
      <c r="A256" s="6">
        <f ca="1">Table1[[#This Row],[Date]]*1</f>
        <v>45426</v>
      </c>
      <c r="B256" t="s">
        <v>34</v>
      </c>
      <c r="C256" t="s">
        <v>6</v>
      </c>
      <c r="D256" t="s">
        <v>17</v>
      </c>
      <c r="E256" t="s">
        <v>33</v>
      </c>
      <c r="F256" t="s">
        <v>32</v>
      </c>
      <c r="G256" s="2">
        <v>29</v>
      </c>
      <c r="H256" s="2">
        <v>116.09</v>
      </c>
      <c r="I256" s="2">
        <v>152.65</v>
      </c>
      <c r="J256" s="2">
        <v>3366.61</v>
      </c>
      <c r="K256" s="2">
        <v>4426.8500000000004</v>
      </c>
      <c r="L256" s="2">
        <v>1060.24</v>
      </c>
    </row>
    <row r="257" spans="1:12" x14ac:dyDescent="0.3">
      <c r="A257" s="6">
        <f ca="1">Table1[[#This Row],[Date]]*1</f>
        <v>45396</v>
      </c>
      <c r="B257" t="s">
        <v>38</v>
      </c>
      <c r="C257" t="s">
        <v>6</v>
      </c>
      <c r="D257" t="s">
        <v>7</v>
      </c>
      <c r="E257" t="s">
        <v>43</v>
      </c>
      <c r="F257" t="s">
        <v>29</v>
      </c>
      <c r="G257" s="2">
        <v>26</v>
      </c>
      <c r="H257" s="2">
        <v>720.42</v>
      </c>
      <c r="I257" s="2">
        <v>1060.6300000000001</v>
      </c>
      <c r="J257" s="2">
        <v>18730.919999999998</v>
      </c>
      <c r="K257" s="2">
        <v>27576.38</v>
      </c>
      <c r="L257" s="2">
        <v>8845.4599999999991</v>
      </c>
    </row>
    <row r="258" spans="1:12" x14ac:dyDescent="0.3">
      <c r="A258" s="6">
        <f ca="1">Table1[[#This Row],[Date]]*1</f>
        <v>45615</v>
      </c>
      <c r="B258" t="s">
        <v>28</v>
      </c>
      <c r="C258" t="s">
        <v>6</v>
      </c>
      <c r="D258" t="s">
        <v>10</v>
      </c>
      <c r="E258" t="s">
        <v>43</v>
      </c>
      <c r="F258" t="s">
        <v>29</v>
      </c>
      <c r="G258" s="2">
        <v>35</v>
      </c>
      <c r="H258" s="2">
        <v>54.86</v>
      </c>
      <c r="I258" s="2">
        <v>62.02</v>
      </c>
      <c r="J258" s="2">
        <v>1920.1</v>
      </c>
      <c r="K258" s="2">
        <v>2170.6999999999998</v>
      </c>
      <c r="L258" s="2">
        <v>250.6</v>
      </c>
    </row>
    <row r="259" spans="1:12" x14ac:dyDescent="0.3">
      <c r="A259" s="6">
        <f ca="1">Table1[[#This Row],[Date]]*1</f>
        <v>45616</v>
      </c>
      <c r="B259" t="s">
        <v>45</v>
      </c>
      <c r="C259" t="s">
        <v>2</v>
      </c>
      <c r="D259" t="s">
        <v>3</v>
      </c>
      <c r="E259" t="s">
        <v>35</v>
      </c>
      <c r="F259" t="s">
        <v>29</v>
      </c>
      <c r="G259" s="2">
        <v>43</v>
      </c>
      <c r="H259" s="2">
        <v>914.1</v>
      </c>
      <c r="I259" s="2">
        <v>1062.3800000000001</v>
      </c>
      <c r="J259" s="2">
        <v>39306.300000000003</v>
      </c>
      <c r="K259" s="2">
        <v>45682.34</v>
      </c>
      <c r="L259" s="2">
        <v>6376.04</v>
      </c>
    </row>
    <row r="260" spans="1:12" x14ac:dyDescent="0.3">
      <c r="A260" s="6">
        <f ca="1">Table1[[#This Row],[Date]]*1</f>
        <v>45576</v>
      </c>
      <c r="B260" t="s">
        <v>37</v>
      </c>
      <c r="C260" t="s">
        <v>8</v>
      </c>
      <c r="D260" t="s">
        <v>9</v>
      </c>
      <c r="E260" t="s">
        <v>33</v>
      </c>
      <c r="F260" t="s">
        <v>29</v>
      </c>
      <c r="G260" s="2">
        <v>3</v>
      </c>
      <c r="H260" s="2">
        <v>816.4</v>
      </c>
      <c r="I260" s="2">
        <v>1029.54</v>
      </c>
      <c r="J260" s="2">
        <v>2449.1999999999998</v>
      </c>
      <c r="K260" s="2">
        <v>3088.62</v>
      </c>
      <c r="L260" s="2">
        <v>639.41999999999996</v>
      </c>
    </row>
    <row r="261" spans="1:12" x14ac:dyDescent="0.3">
      <c r="A261" s="6">
        <f ca="1">Table1[[#This Row],[Date]]*1</f>
        <v>45442</v>
      </c>
      <c r="B261" t="s">
        <v>44</v>
      </c>
      <c r="C261" t="s">
        <v>2</v>
      </c>
      <c r="D261" t="s">
        <v>3</v>
      </c>
      <c r="E261" t="s">
        <v>33</v>
      </c>
      <c r="F261" t="s">
        <v>32</v>
      </c>
      <c r="G261" s="2">
        <v>27</v>
      </c>
      <c r="H261" s="2">
        <v>785.55</v>
      </c>
      <c r="I261" s="2">
        <v>892.99</v>
      </c>
      <c r="J261" s="2">
        <v>21209.85</v>
      </c>
      <c r="K261" s="2">
        <v>24110.73</v>
      </c>
      <c r="L261" s="2">
        <v>2900.88</v>
      </c>
    </row>
    <row r="262" spans="1:12" x14ac:dyDescent="0.3">
      <c r="A262" s="6">
        <f ca="1">Table1[[#This Row],[Date]]*1</f>
        <v>45405</v>
      </c>
      <c r="B262" t="s">
        <v>36</v>
      </c>
      <c r="C262" t="s">
        <v>6</v>
      </c>
      <c r="D262" t="s">
        <v>10</v>
      </c>
      <c r="E262" t="s">
        <v>35</v>
      </c>
      <c r="F262" t="s">
        <v>29</v>
      </c>
      <c r="G262" s="2">
        <v>32</v>
      </c>
      <c r="H262" s="2">
        <v>468.88</v>
      </c>
      <c r="I262" s="2">
        <v>614.72</v>
      </c>
      <c r="J262" s="2">
        <v>15004.16</v>
      </c>
      <c r="K262" s="2">
        <v>19671.04</v>
      </c>
      <c r="L262" s="2">
        <v>4666.88</v>
      </c>
    </row>
    <row r="263" spans="1:12" x14ac:dyDescent="0.3">
      <c r="A263" s="6">
        <f ca="1">Table1[[#This Row],[Date]]*1</f>
        <v>45423</v>
      </c>
      <c r="B263" t="s">
        <v>39</v>
      </c>
      <c r="C263" t="s">
        <v>2</v>
      </c>
      <c r="D263" t="s">
        <v>5</v>
      </c>
      <c r="E263" t="s">
        <v>35</v>
      </c>
      <c r="F263" t="s">
        <v>29</v>
      </c>
      <c r="G263" s="2">
        <v>40</v>
      </c>
      <c r="H263" s="2">
        <v>149.77000000000001</v>
      </c>
      <c r="I263" s="2">
        <v>185.79</v>
      </c>
      <c r="J263" s="2">
        <v>5990.8</v>
      </c>
      <c r="K263" s="2">
        <v>7431.6</v>
      </c>
      <c r="L263" s="2">
        <v>1440.8</v>
      </c>
    </row>
    <row r="264" spans="1:12" x14ac:dyDescent="0.3">
      <c r="A264" s="6">
        <f ca="1">Table1[[#This Row],[Date]]*1</f>
        <v>45555</v>
      </c>
      <c r="B264" t="s">
        <v>37</v>
      </c>
      <c r="C264" t="s">
        <v>2</v>
      </c>
      <c r="D264" t="s">
        <v>3</v>
      </c>
      <c r="E264" t="s">
        <v>4</v>
      </c>
      <c r="F264" t="s">
        <v>32</v>
      </c>
      <c r="G264" s="2">
        <v>18</v>
      </c>
      <c r="H264" s="2">
        <v>287.57</v>
      </c>
      <c r="I264" s="2">
        <v>359.07</v>
      </c>
      <c r="J264" s="2">
        <v>5176.26</v>
      </c>
      <c r="K264" s="2">
        <v>6463.26</v>
      </c>
      <c r="L264" s="2">
        <v>1287</v>
      </c>
    </row>
    <row r="265" spans="1:12" x14ac:dyDescent="0.3">
      <c r="A265" s="6">
        <f ca="1">Table1[[#This Row],[Date]]*1</f>
        <v>45433</v>
      </c>
      <c r="B265" t="s">
        <v>38</v>
      </c>
      <c r="C265" t="s">
        <v>2</v>
      </c>
      <c r="D265" t="s">
        <v>3</v>
      </c>
      <c r="E265" t="s">
        <v>35</v>
      </c>
      <c r="F265" t="s">
        <v>29</v>
      </c>
      <c r="G265" s="2">
        <v>50</v>
      </c>
      <c r="H265" s="2">
        <v>583.47</v>
      </c>
      <c r="I265" s="2">
        <v>695.2</v>
      </c>
      <c r="J265" s="2">
        <v>29173.5</v>
      </c>
      <c r="K265" s="2">
        <v>34760</v>
      </c>
      <c r="L265" s="2">
        <v>5586.5</v>
      </c>
    </row>
    <row r="266" spans="1:12" x14ac:dyDescent="0.3">
      <c r="A266" s="6">
        <f ca="1">Table1[[#This Row],[Date]]*1</f>
        <v>45558</v>
      </c>
      <c r="B266" t="s">
        <v>41</v>
      </c>
      <c r="C266" t="s">
        <v>8</v>
      </c>
      <c r="D266" t="s">
        <v>42</v>
      </c>
      <c r="E266" t="s">
        <v>4</v>
      </c>
      <c r="F266" t="s">
        <v>32</v>
      </c>
      <c r="G266" s="2">
        <v>34</v>
      </c>
      <c r="H266" s="2">
        <v>948.18</v>
      </c>
      <c r="I266" s="2">
        <v>1241.27</v>
      </c>
      <c r="J266" s="2">
        <v>32238.12</v>
      </c>
      <c r="K266" s="2">
        <v>42203.18</v>
      </c>
      <c r="L266" s="2">
        <v>9965.06</v>
      </c>
    </row>
    <row r="267" spans="1:12" x14ac:dyDescent="0.3">
      <c r="A267" s="6">
        <f ca="1">Table1[[#This Row],[Date]]*1</f>
        <v>45434</v>
      </c>
      <c r="B267" t="s">
        <v>36</v>
      </c>
      <c r="C267" t="s">
        <v>6</v>
      </c>
      <c r="D267" t="s">
        <v>7</v>
      </c>
      <c r="E267" t="s">
        <v>35</v>
      </c>
      <c r="F267" t="s">
        <v>29</v>
      </c>
      <c r="G267" s="2">
        <v>37</v>
      </c>
      <c r="H267" s="2">
        <v>135.18</v>
      </c>
      <c r="I267" s="2">
        <v>160.52000000000001</v>
      </c>
      <c r="J267" s="2">
        <v>5001.66</v>
      </c>
      <c r="K267" s="2">
        <v>5939.24</v>
      </c>
      <c r="L267" s="2">
        <v>937.58</v>
      </c>
    </row>
    <row r="268" spans="1:12" x14ac:dyDescent="0.3">
      <c r="A268" s="6">
        <f ca="1">Table1[[#This Row],[Date]]*1</f>
        <v>45506</v>
      </c>
      <c r="B268" t="s">
        <v>30</v>
      </c>
      <c r="C268" t="s">
        <v>11</v>
      </c>
      <c r="D268" t="s">
        <v>12</v>
      </c>
      <c r="E268" t="s">
        <v>35</v>
      </c>
      <c r="F268" t="s">
        <v>32</v>
      </c>
      <c r="G268" s="2">
        <v>2</v>
      </c>
      <c r="H268" s="2">
        <v>587.42999999999995</v>
      </c>
      <c r="I268" s="2">
        <v>809.71</v>
      </c>
      <c r="J268" s="2">
        <v>1174.8599999999999</v>
      </c>
      <c r="K268" s="2">
        <v>1619.42</v>
      </c>
      <c r="L268" s="2">
        <v>444.56</v>
      </c>
    </row>
    <row r="269" spans="1:12" x14ac:dyDescent="0.3">
      <c r="A269" s="6">
        <f ca="1">Table1[[#This Row],[Date]]*1</f>
        <v>45444</v>
      </c>
      <c r="B269" t="s">
        <v>39</v>
      </c>
      <c r="C269" t="s">
        <v>6</v>
      </c>
      <c r="D269" t="s">
        <v>17</v>
      </c>
      <c r="E269" t="s">
        <v>40</v>
      </c>
      <c r="F269" t="s">
        <v>32</v>
      </c>
      <c r="G269" s="2">
        <v>36</v>
      </c>
      <c r="H269" s="2">
        <v>699.27</v>
      </c>
      <c r="I269" s="2">
        <v>770.53</v>
      </c>
      <c r="J269" s="2">
        <v>25173.72</v>
      </c>
      <c r="K269" s="2">
        <v>27739.08</v>
      </c>
      <c r="L269" s="2">
        <v>2565.36</v>
      </c>
    </row>
    <row r="270" spans="1:12" x14ac:dyDescent="0.3">
      <c r="A270" s="6">
        <f ca="1">Table1[[#This Row],[Date]]*1</f>
        <v>45421</v>
      </c>
      <c r="B270" t="s">
        <v>37</v>
      </c>
      <c r="C270" t="s">
        <v>11</v>
      </c>
      <c r="D270" t="s">
        <v>13</v>
      </c>
      <c r="E270" t="s">
        <v>35</v>
      </c>
      <c r="F270" t="s">
        <v>32</v>
      </c>
      <c r="G270" s="2">
        <v>26</v>
      </c>
      <c r="H270" s="2">
        <v>205.69</v>
      </c>
      <c r="I270" s="2">
        <v>230.24</v>
      </c>
      <c r="J270" s="2">
        <v>5347.94</v>
      </c>
      <c r="K270" s="2">
        <v>5986.24</v>
      </c>
      <c r="L270" s="2">
        <v>638.29999999999995</v>
      </c>
    </row>
    <row r="271" spans="1:12" x14ac:dyDescent="0.3">
      <c r="A271" s="6">
        <f ca="1">Table1[[#This Row],[Date]]*1</f>
        <v>45624</v>
      </c>
      <c r="B271" t="s">
        <v>36</v>
      </c>
      <c r="C271" t="s">
        <v>11</v>
      </c>
      <c r="D271" t="s">
        <v>12</v>
      </c>
      <c r="E271" t="s">
        <v>43</v>
      </c>
      <c r="F271" t="s">
        <v>29</v>
      </c>
      <c r="G271" s="2">
        <v>23</v>
      </c>
      <c r="H271" s="2">
        <v>333.66</v>
      </c>
      <c r="I271" s="2">
        <v>454.88</v>
      </c>
      <c r="J271" s="2">
        <v>7674.18</v>
      </c>
      <c r="K271" s="2">
        <v>10462.24</v>
      </c>
      <c r="L271" s="2">
        <v>2788.06</v>
      </c>
    </row>
    <row r="272" spans="1:12" x14ac:dyDescent="0.3">
      <c r="A272" s="6">
        <f ca="1">Table1[[#This Row],[Date]]*1</f>
        <v>45343</v>
      </c>
      <c r="B272" t="s">
        <v>30</v>
      </c>
      <c r="C272" t="s">
        <v>11</v>
      </c>
      <c r="D272" t="s">
        <v>12</v>
      </c>
      <c r="E272" t="s">
        <v>4</v>
      </c>
      <c r="F272" t="s">
        <v>29</v>
      </c>
      <c r="G272" s="2">
        <v>24</v>
      </c>
      <c r="H272" s="2">
        <v>699.67</v>
      </c>
      <c r="I272" s="2">
        <v>1033.42</v>
      </c>
      <c r="J272" s="2">
        <v>16792.080000000002</v>
      </c>
      <c r="K272" s="2">
        <v>24802.080000000002</v>
      </c>
      <c r="L272" s="2">
        <v>8010</v>
      </c>
    </row>
    <row r="273" spans="1:12" x14ac:dyDescent="0.3">
      <c r="A273" s="6">
        <f ca="1">Table1[[#This Row],[Date]]*1</f>
        <v>45450</v>
      </c>
      <c r="B273" t="s">
        <v>36</v>
      </c>
      <c r="C273" t="s">
        <v>8</v>
      </c>
      <c r="D273" t="s">
        <v>16</v>
      </c>
      <c r="E273" t="s">
        <v>43</v>
      </c>
      <c r="F273" t="s">
        <v>29</v>
      </c>
      <c r="G273" s="2">
        <v>1</v>
      </c>
      <c r="H273" s="2">
        <v>581.1</v>
      </c>
      <c r="I273" s="2">
        <v>746.47</v>
      </c>
      <c r="J273" s="2">
        <v>581.1</v>
      </c>
      <c r="K273" s="2">
        <v>746.47</v>
      </c>
      <c r="L273" s="2">
        <v>165.37</v>
      </c>
    </row>
    <row r="274" spans="1:12" x14ac:dyDescent="0.3">
      <c r="A274" s="6">
        <f ca="1">Table1[[#This Row],[Date]]*1</f>
        <v>45416</v>
      </c>
      <c r="B274" t="s">
        <v>38</v>
      </c>
      <c r="C274" t="s">
        <v>11</v>
      </c>
      <c r="D274" t="s">
        <v>13</v>
      </c>
      <c r="E274" t="s">
        <v>40</v>
      </c>
      <c r="F274" t="s">
        <v>32</v>
      </c>
      <c r="G274" s="2">
        <v>12</v>
      </c>
      <c r="H274" s="2">
        <v>102.78</v>
      </c>
      <c r="I274" s="2">
        <v>124.79</v>
      </c>
      <c r="J274" s="2">
        <v>1233.3599999999999</v>
      </c>
      <c r="K274" s="2">
        <v>1497.48</v>
      </c>
      <c r="L274" s="2">
        <v>264.12</v>
      </c>
    </row>
    <row r="275" spans="1:12" x14ac:dyDescent="0.3">
      <c r="A275" s="6">
        <f ca="1">Table1[[#This Row],[Date]]*1</f>
        <v>45435</v>
      </c>
      <c r="B275" t="s">
        <v>45</v>
      </c>
      <c r="C275" t="s">
        <v>8</v>
      </c>
      <c r="D275" t="s">
        <v>16</v>
      </c>
      <c r="E275" t="s">
        <v>43</v>
      </c>
      <c r="F275" t="s">
        <v>32</v>
      </c>
      <c r="G275" s="2">
        <v>46</v>
      </c>
      <c r="H275" s="2">
        <v>445.23</v>
      </c>
      <c r="I275" s="2">
        <v>569.41999999999996</v>
      </c>
      <c r="J275" s="2">
        <v>20480.580000000002</v>
      </c>
      <c r="K275" s="2">
        <v>26193.32</v>
      </c>
      <c r="L275" s="2">
        <v>5712.74</v>
      </c>
    </row>
    <row r="276" spans="1:12" x14ac:dyDescent="0.3">
      <c r="A276" s="6">
        <f ca="1">Table1[[#This Row],[Date]]*1</f>
        <v>45305</v>
      </c>
      <c r="B276" t="s">
        <v>41</v>
      </c>
      <c r="C276" t="s">
        <v>8</v>
      </c>
      <c r="D276" t="s">
        <v>9</v>
      </c>
      <c r="E276" t="s">
        <v>43</v>
      </c>
      <c r="F276" t="s">
        <v>29</v>
      </c>
      <c r="G276" s="2">
        <v>38</v>
      </c>
      <c r="H276" s="2">
        <v>498.95</v>
      </c>
      <c r="I276" s="2">
        <v>648.22</v>
      </c>
      <c r="J276" s="2">
        <v>18960.099999999999</v>
      </c>
      <c r="K276" s="2">
        <v>24632.36</v>
      </c>
      <c r="L276" s="2">
        <v>5672.26</v>
      </c>
    </row>
    <row r="277" spans="1:12" x14ac:dyDescent="0.3">
      <c r="A277" s="6">
        <f ca="1">Table1[[#This Row],[Date]]*1</f>
        <v>45355</v>
      </c>
      <c r="B277" t="s">
        <v>28</v>
      </c>
      <c r="C277" t="s">
        <v>6</v>
      </c>
      <c r="D277" t="s">
        <v>7</v>
      </c>
      <c r="E277" t="s">
        <v>4</v>
      </c>
      <c r="F277" t="s">
        <v>29</v>
      </c>
      <c r="G277" s="2">
        <v>16</v>
      </c>
      <c r="H277" s="2">
        <v>996.99</v>
      </c>
      <c r="I277" s="2">
        <v>1374.28</v>
      </c>
      <c r="J277" s="2">
        <v>15951.84</v>
      </c>
      <c r="K277" s="2">
        <v>21988.48</v>
      </c>
      <c r="L277" s="2">
        <v>6036.64</v>
      </c>
    </row>
    <row r="278" spans="1:12" x14ac:dyDescent="0.3">
      <c r="A278" s="6">
        <f ca="1">Table1[[#This Row],[Date]]*1</f>
        <v>45526</v>
      </c>
      <c r="B278" t="s">
        <v>34</v>
      </c>
      <c r="C278" t="s">
        <v>6</v>
      </c>
      <c r="D278" t="s">
        <v>17</v>
      </c>
      <c r="E278" t="s">
        <v>43</v>
      </c>
      <c r="F278" t="s">
        <v>29</v>
      </c>
      <c r="G278" s="2">
        <v>29</v>
      </c>
      <c r="H278" s="2">
        <v>281.22000000000003</v>
      </c>
      <c r="I278" s="2">
        <v>311.89999999999998</v>
      </c>
      <c r="J278" s="2">
        <v>8155.38</v>
      </c>
      <c r="K278" s="2">
        <v>9045.1</v>
      </c>
      <c r="L278" s="2">
        <v>889.72</v>
      </c>
    </row>
    <row r="279" spans="1:12" x14ac:dyDescent="0.3">
      <c r="A279" s="6">
        <f ca="1">Table1[[#This Row],[Date]]*1</f>
        <v>45526</v>
      </c>
      <c r="B279" t="s">
        <v>38</v>
      </c>
      <c r="C279" t="s">
        <v>8</v>
      </c>
      <c r="D279" t="s">
        <v>9</v>
      </c>
      <c r="E279" t="s">
        <v>40</v>
      </c>
      <c r="F279" t="s">
        <v>32</v>
      </c>
      <c r="G279" s="2">
        <v>31</v>
      </c>
      <c r="H279" s="2">
        <v>982.36</v>
      </c>
      <c r="I279" s="2">
        <v>1452.12</v>
      </c>
      <c r="J279" s="2">
        <v>30453.16</v>
      </c>
      <c r="K279" s="2">
        <v>45015.72</v>
      </c>
      <c r="L279" s="2">
        <v>14562.56</v>
      </c>
    </row>
    <row r="280" spans="1:12" x14ac:dyDescent="0.3">
      <c r="A280" s="6">
        <f ca="1">Table1[[#This Row],[Date]]*1</f>
        <v>45353</v>
      </c>
      <c r="B280" t="s">
        <v>36</v>
      </c>
      <c r="C280" t="s">
        <v>11</v>
      </c>
      <c r="D280" t="s">
        <v>15</v>
      </c>
      <c r="E280" t="s">
        <v>35</v>
      </c>
      <c r="F280" t="s">
        <v>32</v>
      </c>
      <c r="G280" s="2">
        <v>45</v>
      </c>
      <c r="H280" s="2">
        <v>836.38</v>
      </c>
      <c r="I280" s="2">
        <v>944.66</v>
      </c>
      <c r="J280" s="2">
        <v>37637.1</v>
      </c>
      <c r="K280" s="2">
        <v>42509.7</v>
      </c>
      <c r="L280" s="2">
        <v>4872.6000000000004</v>
      </c>
    </row>
    <row r="281" spans="1:12" x14ac:dyDescent="0.3">
      <c r="A281" s="6">
        <f ca="1">Table1[[#This Row],[Date]]*1</f>
        <v>45637</v>
      </c>
      <c r="B281" t="s">
        <v>38</v>
      </c>
      <c r="C281" t="s">
        <v>11</v>
      </c>
      <c r="D281" t="s">
        <v>12</v>
      </c>
      <c r="E281" t="s">
        <v>4</v>
      </c>
      <c r="F281" t="s">
        <v>29</v>
      </c>
      <c r="G281" s="2">
        <v>27</v>
      </c>
      <c r="H281" s="2">
        <v>477.04</v>
      </c>
      <c r="I281" s="2">
        <v>705.01</v>
      </c>
      <c r="J281" s="2">
        <v>12880.08</v>
      </c>
      <c r="K281" s="2">
        <v>19035.27</v>
      </c>
      <c r="L281" s="2">
        <v>6155.19</v>
      </c>
    </row>
    <row r="282" spans="1:12" x14ac:dyDescent="0.3">
      <c r="A282" s="6">
        <f ca="1">Table1[[#This Row],[Date]]*1</f>
        <v>45448</v>
      </c>
      <c r="B282" t="s">
        <v>28</v>
      </c>
      <c r="C282" t="s">
        <v>2</v>
      </c>
      <c r="D282" t="s">
        <v>5</v>
      </c>
      <c r="E282" t="s">
        <v>33</v>
      </c>
      <c r="F282" t="s">
        <v>32</v>
      </c>
      <c r="G282" s="2">
        <v>21</v>
      </c>
      <c r="H282" s="2">
        <v>213.84</v>
      </c>
      <c r="I282" s="2">
        <v>259.05</v>
      </c>
      <c r="J282" s="2">
        <v>4490.6400000000003</v>
      </c>
      <c r="K282" s="2">
        <v>5440.05</v>
      </c>
      <c r="L282" s="2">
        <v>949.41</v>
      </c>
    </row>
    <row r="283" spans="1:12" x14ac:dyDescent="0.3">
      <c r="A283" s="6">
        <f ca="1">Table1[[#This Row],[Date]]*1</f>
        <v>45452</v>
      </c>
      <c r="B283" t="s">
        <v>38</v>
      </c>
      <c r="C283" t="s">
        <v>6</v>
      </c>
      <c r="D283" t="s">
        <v>10</v>
      </c>
      <c r="E283" t="s">
        <v>4</v>
      </c>
      <c r="F283" t="s">
        <v>32</v>
      </c>
      <c r="G283" s="2">
        <v>34</v>
      </c>
      <c r="H283" s="2">
        <v>974.43</v>
      </c>
      <c r="I283" s="2">
        <v>1367.38</v>
      </c>
      <c r="J283" s="2">
        <v>33130.620000000003</v>
      </c>
      <c r="K283" s="2">
        <v>46490.92</v>
      </c>
      <c r="L283" s="2">
        <v>13360.3</v>
      </c>
    </row>
    <row r="284" spans="1:12" x14ac:dyDescent="0.3">
      <c r="A284" s="6">
        <f ca="1">Table1[[#This Row],[Date]]*1</f>
        <v>45404</v>
      </c>
      <c r="B284" t="s">
        <v>30</v>
      </c>
      <c r="C284" t="s">
        <v>11</v>
      </c>
      <c r="D284" t="s">
        <v>15</v>
      </c>
      <c r="E284" t="s">
        <v>33</v>
      </c>
      <c r="F284" t="s">
        <v>29</v>
      </c>
      <c r="G284" s="2">
        <v>43</v>
      </c>
      <c r="H284" s="2">
        <v>89.04</v>
      </c>
      <c r="I284" s="2">
        <v>98.63</v>
      </c>
      <c r="J284" s="2">
        <v>3828.72</v>
      </c>
      <c r="K284" s="2">
        <v>4241.09</v>
      </c>
      <c r="L284" s="2">
        <v>412.37</v>
      </c>
    </row>
    <row r="285" spans="1:12" x14ac:dyDescent="0.3">
      <c r="A285" s="6">
        <f ca="1">Table1[[#This Row],[Date]]*1</f>
        <v>45355</v>
      </c>
      <c r="B285" t="s">
        <v>41</v>
      </c>
      <c r="C285" t="s">
        <v>2</v>
      </c>
      <c r="D285" t="s">
        <v>3</v>
      </c>
      <c r="E285" t="s">
        <v>31</v>
      </c>
      <c r="F285" t="s">
        <v>32</v>
      </c>
      <c r="G285" s="2">
        <v>38</v>
      </c>
      <c r="H285" s="2">
        <v>644.1</v>
      </c>
      <c r="I285" s="2">
        <v>947.44</v>
      </c>
      <c r="J285" s="2">
        <v>24475.8</v>
      </c>
      <c r="K285" s="2">
        <v>36002.720000000001</v>
      </c>
      <c r="L285" s="2">
        <v>11526.92</v>
      </c>
    </row>
    <row r="286" spans="1:12" x14ac:dyDescent="0.3">
      <c r="A286" s="6">
        <f ca="1">Table1[[#This Row],[Date]]*1</f>
        <v>45386</v>
      </c>
      <c r="B286" t="s">
        <v>28</v>
      </c>
      <c r="C286" t="s">
        <v>11</v>
      </c>
      <c r="D286" t="s">
        <v>15</v>
      </c>
      <c r="E286" t="s">
        <v>43</v>
      </c>
      <c r="F286" t="s">
        <v>29</v>
      </c>
      <c r="G286" s="2">
        <v>2</v>
      </c>
      <c r="H286" s="2">
        <v>509.2</v>
      </c>
      <c r="I286" s="2">
        <v>578.78</v>
      </c>
      <c r="J286" s="2">
        <v>1018.4</v>
      </c>
      <c r="K286" s="2">
        <v>1157.56</v>
      </c>
      <c r="L286" s="2">
        <v>139.16</v>
      </c>
    </row>
    <row r="287" spans="1:12" x14ac:dyDescent="0.3">
      <c r="A287" s="6">
        <f ca="1">Table1[[#This Row],[Date]]*1</f>
        <v>45306</v>
      </c>
      <c r="B287" t="s">
        <v>30</v>
      </c>
      <c r="C287" t="s">
        <v>2</v>
      </c>
      <c r="D287" t="s">
        <v>5</v>
      </c>
      <c r="E287" t="s">
        <v>31</v>
      </c>
      <c r="F287" t="s">
        <v>29</v>
      </c>
      <c r="G287" s="2">
        <v>19</v>
      </c>
      <c r="H287" s="2">
        <v>513.70000000000005</v>
      </c>
      <c r="I287" s="2">
        <v>573.5</v>
      </c>
      <c r="J287" s="2">
        <v>9760.2999999999993</v>
      </c>
      <c r="K287" s="2">
        <v>10896.5</v>
      </c>
      <c r="L287" s="2">
        <v>1136.2</v>
      </c>
    </row>
    <row r="288" spans="1:12" x14ac:dyDescent="0.3">
      <c r="A288" s="6">
        <f ca="1">Table1[[#This Row],[Date]]*1</f>
        <v>45649</v>
      </c>
      <c r="B288" t="s">
        <v>38</v>
      </c>
      <c r="C288" t="s">
        <v>2</v>
      </c>
      <c r="D288" t="s">
        <v>3</v>
      </c>
      <c r="E288" t="s">
        <v>4</v>
      </c>
      <c r="F288" t="s">
        <v>29</v>
      </c>
      <c r="G288" s="2">
        <v>13</v>
      </c>
      <c r="H288" s="2">
        <v>921.59</v>
      </c>
      <c r="I288" s="2">
        <v>1021.89</v>
      </c>
      <c r="J288" s="2">
        <v>11980.67</v>
      </c>
      <c r="K288" s="2">
        <v>13284.57</v>
      </c>
      <c r="L288" s="2">
        <v>1303.9000000000001</v>
      </c>
    </row>
    <row r="289" spans="1:12" x14ac:dyDescent="0.3">
      <c r="A289" s="6">
        <f ca="1">Table1[[#This Row],[Date]]*1</f>
        <v>45551</v>
      </c>
      <c r="B289" t="s">
        <v>36</v>
      </c>
      <c r="C289" t="s">
        <v>8</v>
      </c>
      <c r="D289" t="s">
        <v>9</v>
      </c>
      <c r="E289" t="s">
        <v>40</v>
      </c>
      <c r="F289" t="s">
        <v>32</v>
      </c>
      <c r="G289" s="2">
        <v>47</v>
      </c>
      <c r="H289" s="2">
        <v>113.08</v>
      </c>
      <c r="I289" s="2">
        <v>152.46</v>
      </c>
      <c r="J289" s="2">
        <v>5314.76</v>
      </c>
      <c r="K289" s="2">
        <v>7165.62</v>
      </c>
      <c r="L289" s="2">
        <v>1850.86</v>
      </c>
    </row>
    <row r="290" spans="1:12" x14ac:dyDescent="0.3">
      <c r="A290" s="6">
        <f ca="1">Table1[[#This Row],[Date]]*1</f>
        <v>45371</v>
      </c>
      <c r="B290" t="s">
        <v>37</v>
      </c>
      <c r="C290" t="s">
        <v>2</v>
      </c>
      <c r="D290" t="s">
        <v>14</v>
      </c>
      <c r="E290" t="s">
        <v>33</v>
      </c>
      <c r="F290" t="s">
        <v>29</v>
      </c>
      <c r="G290" s="2">
        <v>25</v>
      </c>
      <c r="H290" s="2">
        <v>592.44000000000005</v>
      </c>
      <c r="I290" s="2">
        <v>858.32</v>
      </c>
      <c r="J290" s="2">
        <v>14811</v>
      </c>
      <c r="K290" s="2">
        <v>21458</v>
      </c>
      <c r="L290" s="2">
        <v>6647</v>
      </c>
    </row>
    <row r="291" spans="1:12" x14ac:dyDescent="0.3">
      <c r="A291" s="6">
        <f ca="1">Table1[[#This Row],[Date]]*1</f>
        <v>45334</v>
      </c>
      <c r="B291" t="s">
        <v>44</v>
      </c>
      <c r="C291" t="s">
        <v>2</v>
      </c>
      <c r="D291" t="s">
        <v>5</v>
      </c>
      <c r="E291" t="s">
        <v>4</v>
      </c>
      <c r="F291" t="s">
        <v>29</v>
      </c>
      <c r="G291" s="2">
        <v>22</v>
      </c>
      <c r="H291" s="2">
        <v>917.35</v>
      </c>
      <c r="I291" s="2">
        <v>1147.77</v>
      </c>
      <c r="J291" s="2">
        <v>20181.7</v>
      </c>
      <c r="K291" s="2">
        <v>25250.94</v>
      </c>
      <c r="L291" s="2">
        <v>5069.24</v>
      </c>
    </row>
    <row r="292" spans="1:12" x14ac:dyDescent="0.3">
      <c r="A292" s="6">
        <f ca="1">Table1[[#This Row],[Date]]*1</f>
        <v>45600</v>
      </c>
      <c r="B292" t="s">
        <v>28</v>
      </c>
      <c r="C292" t="s">
        <v>11</v>
      </c>
      <c r="D292" t="s">
        <v>15</v>
      </c>
      <c r="E292" t="s">
        <v>40</v>
      </c>
      <c r="F292" t="s">
        <v>32</v>
      </c>
      <c r="G292" s="2">
        <v>16</v>
      </c>
      <c r="H292" s="2">
        <v>783.11</v>
      </c>
      <c r="I292" s="2">
        <v>1002.89</v>
      </c>
      <c r="J292" s="2">
        <v>12529.76</v>
      </c>
      <c r="K292" s="2">
        <v>16046.24</v>
      </c>
      <c r="L292" s="2">
        <v>3516.48</v>
      </c>
    </row>
    <row r="293" spans="1:12" x14ac:dyDescent="0.3">
      <c r="A293" s="6">
        <f ca="1">Table1[[#This Row],[Date]]*1</f>
        <v>45315</v>
      </c>
      <c r="B293" t="s">
        <v>39</v>
      </c>
      <c r="C293" t="s">
        <v>6</v>
      </c>
      <c r="D293" t="s">
        <v>10</v>
      </c>
      <c r="E293" t="s">
        <v>43</v>
      </c>
      <c r="F293" t="s">
        <v>29</v>
      </c>
      <c r="G293" s="2">
        <v>17</v>
      </c>
      <c r="H293" s="2">
        <v>930.07</v>
      </c>
      <c r="I293" s="2">
        <v>1245.69</v>
      </c>
      <c r="J293" s="2">
        <v>15811.19</v>
      </c>
      <c r="K293" s="2">
        <v>21176.73</v>
      </c>
      <c r="L293" s="2">
        <v>5365.54</v>
      </c>
    </row>
    <row r="294" spans="1:12" x14ac:dyDescent="0.3">
      <c r="A294" s="6">
        <f ca="1">Table1[[#This Row],[Date]]*1</f>
        <v>45463</v>
      </c>
      <c r="B294" t="s">
        <v>36</v>
      </c>
      <c r="C294" t="s">
        <v>8</v>
      </c>
      <c r="D294" t="s">
        <v>16</v>
      </c>
      <c r="E294" t="s">
        <v>4</v>
      </c>
      <c r="F294" t="s">
        <v>32</v>
      </c>
      <c r="G294" s="2">
        <v>33</v>
      </c>
      <c r="H294" s="2">
        <v>248.36</v>
      </c>
      <c r="I294" s="2">
        <v>315.02</v>
      </c>
      <c r="J294" s="2">
        <v>8195.8799999999992</v>
      </c>
      <c r="K294" s="2">
        <v>10395.66</v>
      </c>
      <c r="L294" s="2">
        <v>2199.7800000000002</v>
      </c>
    </row>
    <row r="295" spans="1:12" x14ac:dyDescent="0.3">
      <c r="A295" s="6">
        <f ca="1">Table1[[#This Row],[Date]]*1</f>
        <v>45644</v>
      </c>
      <c r="B295" t="s">
        <v>45</v>
      </c>
      <c r="C295" t="s">
        <v>2</v>
      </c>
      <c r="D295" t="s">
        <v>3</v>
      </c>
      <c r="E295" t="s">
        <v>31</v>
      </c>
      <c r="F295" t="s">
        <v>29</v>
      </c>
      <c r="G295" s="2">
        <v>35</v>
      </c>
      <c r="H295" s="2">
        <v>911.36</v>
      </c>
      <c r="I295" s="2">
        <v>1036.1300000000001</v>
      </c>
      <c r="J295" s="2">
        <v>31897.599999999999</v>
      </c>
      <c r="K295" s="2">
        <v>36264.550000000003</v>
      </c>
      <c r="L295" s="2">
        <v>4366.95</v>
      </c>
    </row>
    <row r="296" spans="1:12" x14ac:dyDescent="0.3">
      <c r="A296" s="6">
        <f ca="1">Table1[[#This Row],[Date]]*1</f>
        <v>45512</v>
      </c>
      <c r="B296" t="s">
        <v>37</v>
      </c>
      <c r="C296" t="s">
        <v>6</v>
      </c>
      <c r="D296" t="s">
        <v>10</v>
      </c>
      <c r="E296" t="s">
        <v>35</v>
      </c>
      <c r="F296" t="s">
        <v>32</v>
      </c>
      <c r="G296" s="2">
        <v>21</v>
      </c>
      <c r="H296" s="2">
        <v>329.35</v>
      </c>
      <c r="I296" s="2">
        <v>398.94</v>
      </c>
      <c r="J296" s="2">
        <v>6916.35</v>
      </c>
      <c r="K296" s="2">
        <v>8377.74</v>
      </c>
      <c r="L296" s="2">
        <v>1461.39</v>
      </c>
    </row>
    <row r="297" spans="1:12" x14ac:dyDescent="0.3">
      <c r="A297" s="6">
        <f ca="1">Table1[[#This Row],[Date]]*1</f>
        <v>45536</v>
      </c>
      <c r="B297" t="s">
        <v>38</v>
      </c>
      <c r="C297" t="s">
        <v>2</v>
      </c>
      <c r="D297" t="s">
        <v>5</v>
      </c>
      <c r="E297" t="s">
        <v>31</v>
      </c>
      <c r="F297" t="s">
        <v>29</v>
      </c>
      <c r="G297" s="2">
        <v>9</v>
      </c>
      <c r="H297" s="2">
        <v>439.34</v>
      </c>
      <c r="I297" s="2">
        <v>569.27</v>
      </c>
      <c r="J297" s="2">
        <v>3954.06</v>
      </c>
      <c r="K297" s="2">
        <v>5123.43</v>
      </c>
      <c r="L297" s="2">
        <v>1169.3699999999999</v>
      </c>
    </row>
    <row r="298" spans="1:12" x14ac:dyDescent="0.3">
      <c r="A298" s="6">
        <f ca="1">Table1[[#This Row],[Date]]*1</f>
        <v>45607</v>
      </c>
      <c r="B298" t="s">
        <v>38</v>
      </c>
      <c r="C298" t="s">
        <v>6</v>
      </c>
      <c r="D298" t="s">
        <v>7</v>
      </c>
      <c r="E298" t="s">
        <v>31</v>
      </c>
      <c r="F298" t="s">
        <v>29</v>
      </c>
      <c r="G298" s="2">
        <v>45</v>
      </c>
      <c r="H298" s="2">
        <v>411.21</v>
      </c>
      <c r="I298" s="2">
        <v>459.02</v>
      </c>
      <c r="J298" s="2">
        <v>18504.45</v>
      </c>
      <c r="K298" s="2">
        <v>20655.900000000001</v>
      </c>
      <c r="L298" s="2">
        <v>2151.4499999999998</v>
      </c>
    </row>
    <row r="299" spans="1:12" x14ac:dyDescent="0.3">
      <c r="A299" s="6">
        <f ca="1">Table1[[#This Row],[Date]]*1</f>
        <v>45506</v>
      </c>
      <c r="B299" t="s">
        <v>36</v>
      </c>
      <c r="C299" t="s">
        <v>2</v>
      </c>
      <c r="D299" t="s">
        <v>14</v>
      </c>
      <c r="E299" t="s">
        <v>43</v>
      </c>
      <c r="F299" t="s">
        <v>29</v>
      </c>
      <c r="G299" s="2">
        <v>35</v>
      </c>
      <c r="H299" s="2">
        <v>884.9</v>
      </c>
      <c r="I299" s="2">
        <v>1047.45</v>
      </c>
      <c r="J299" s="2">
        <v>30971.5</v>
      </c>
      <c r="K299" s="2">
        <v>36660.75</v>
      </c>
      <c r="L299" s="2">
        <v>5689.25</v>
      </c>
    </row>
    <row r="300" spans="1:12" x14ac:dyDescent="0.3">
      <c r="A300" s="6">
        <f ca="1">Table1[[#This Row],[Date]]*1</f>
        <v>45294</v>
      </c>
      <c r="B300" t="s">
        <v>45</v>
      </c>
      <c r="C300" t="s">
        <v>8</v>
      </c>
      <c r="D300" t="s">
        <v>42</v>
      </c>
      <c r="E300" t="s">
        <v>40</v>
      </c>
      <c r="F300" t="s">
        <v>32</v>
      </c>
      <c r="G300" s="2">
        <v>17</v>
      </c>
      <c r="H300" s="2">
        <v>108.87</v>
      </c>
      <c r="I300" s="2">
        <v>135.4</v>
      </c>
      <c r="J300" s="2">
        <v>1850.79</v>
      </c>
      <c r="K300" s="2">
        <v>2301.8000000000002</v>
      </c>
      <c r="L300" s="2">
        <v>451.01</v>
      </c>
    </row>
    <row r="301" spans="1:12" x14ac:dyDescent="0.3">
      <c r="A301" s="6">
        <f ca="1">Table1[[#This Row],[Date]]*1</f>
        <v>45394</v>
      </c>
      <c r="B301" t="s">
        <v>44</v>
      </c>
      <c r="C301" t="s">
        <v>6</v>
      </c>
      <c r="D301" t="s">
        <v>7</v>
      </c>
      <c r="E301" t="s">
        <v>33</v>
      </c>
      <c r="F301" t="s">
        <v>32</v>
      </c>
      <c r="G301" s="2">
        <v>20</v>
      </c>
      <c r="H301" s="2">
        <v>976.88</v>
      </c>
      <c r="I301" s="2">
        <v>1212.71</v>
      </c>
      <c r="J301" s="2">
        <v>19537.599999999999</v>
      </c>
      <c r="K301" s="2">
        <v>24254.2</v>
      </c>
      <c r="L301" s="2">
        <v>4716.6000000000004</v>
      </c>
    </row>
    <row r="302" spans="1:12" x14ac:dyDescent="0.3">
      <c r="A302" s="6">
        <f ca="1">Table1[[#This Row],[Date]]*1</f>
        <v>45599</v>
      </c>
      <c r="B302" t="s">
        <v>38</v>
      </c>
      <c r="C302" t="s">
        <v>11</v>
      </c>
      <c r="D302" t="s">
        <v>15</v>
      </c>
      <c r="E302" t="s">
        <v>31</v>
      </c>
      <c r="F302" t="s">
        <v>32</v>
      </c>
      <c r="G302" s="2">
        <v>42</v>
      </c>
      <c r="H302" s="2">
        <v>730.2</v>
      </c>
      <c r="I302" s="2">
        <v>859.1</v>
      </c>
      <c r="J302" s="2">
        <v>30668.400000000001</v>
      </c>
      <c r="K302" s="2">
        <v>36082.199999999997</v>
      </c>
      <c r="L302" s="2">
        <v>5413.8</v>
      </c>
    </row>
    <row r="303" spans="1:12" x14ac:dyDescent="0.3">
      <c r="A303" s="6">
        <f ca="1">Table1[[#This Row],[Date]]*1</f>
        <v>45382</v>
      </c>
      <c r="B303" t="s">
        <v>38</v>
      </c>
      <c r="C303" t="s">
        <v>11</v>
      </c>
      <c r="D303" t="s">
        <v>13</v>
      </c>
      <c r="E303" t="s">
        <v>35</v>
      </c>
      <c r="F303" t="s">
        <v>29</v>
      </c>
      <c r="G303" s="2">
        <v>2</v>
      </c>
      <c r="H303" s="2">
        <v>914.4</v>
      </c>
      <c r="I303" s="2">
        <v>1118.32</v>
      </c>
      <c r="J303" s="2">
        <v>1828.8</v>
      </c>
      <c r="K303" s="2">
        <v>2236.64</v>
      </c>
      <c r="L303" s="2">
        <v>407.84</v>
      </c>
    </row>
    <row r="304" spans="1:12" x14ac:dyDescent="0.3">
      <c r="A304" s="6">
        <f ca="1">Table1[[#This Row],[Date]]*1</f>
        <v>45358</v>
      </c>
      <c r="B304" t="s">
        <v>39</v>
      </c>
      <c r="C304" t="s">
        <v>8</v>
      </c>
      <c r="D304" t="s">
        <v>16</v>
      </c>
      <c r="E304" t="s">
        <v>35</v>
      </c>
      <c r="F304" t="s">
        <v>29</v>
      </c>
      <c r="G304" s="2">
        <v>48</v>
      </c>
      <c r="H304" s="2">
        <v>306.7</v>
      </c>
      <c r="I304" s="2">
        <v>433.01</v>
      </c>
      <c r="J304" s="2">
        <v>14721.6</v>
      </c>
      <c r="K304" s="2">
        <v>20784.48</v>
      </c>
      <c r="L304" s="2">
        <v>6062.88</v>
      </c>
    </row>
    <row r="305" spans="1:12" x14ac:dyDescent="0.3">
      <c r="A305" s="6">
        <f ca="1">Table1[[#This Row],[Date]]*1</f>
        <v>45317</v>
      </c>
      <c r="B305" t="s">
        <v>36</v>
      </c>
      <c r="C305" t="s">
        <v>2</v>
      </c>
      <c r="D305" t="s">
        <v>3</v>
      </c>
      <c r="E305" t="s">
        <v>40</v>
      </c>
      <c r="F305" t="s">
        <v>32</v>
      </c>
      <c r="G305" s="2">
        <v>14</v>
      </c>
      <c r="H305" s="2">
        <v>382.13</v>
      </c>
      <c r="I305" s="2">
        <v>519.05999999999995</v>
      </c>
      <c r="J305" s="2">
        <v>5349.82</v>
      </c>
      <c r="K305" s="2">
        <v>7266.84</v>
      </c>
      <c r="L305" s="2">
        <v>1917.02</v>
      </c>
    </row>
    <row r="306" spans="1:12" x14ac:dyDescent="0.3">
      <c r="A306" s="6">
        <f ca="1">Table1[[#This Row],[Date]]*1</f>
        <v>45522</v>
      </c>
      <c r="B306" t="s">
        <v>45</v>
      </c>
      <c r="C306" t="s">
        <v>11</v>
      </c>
      <c r="D306" t="s">
        <v>12</v>
      </c>
      <c r="E306" t="s">
        <v>33</v>
      </c>
      <c r="F306" t="s">
        <v>32</v>
      </c>
      <c r="G306" s="2">
        <v>25</v>
      </c>
      <c r="H306" s="2">
        <v>574.11</v>
      </c>
      <c r="I306" s="2">
        <v>786.46</v>
      </c>
      <c r="J306" s="2">
        <v>14352.75</v>
      </c>
      <c r="K306" s="2">
        <v>19661.5</v>
      </c>
      <c r="L306" s="2">
        <v>5308.75</v>
      </c>
    </row>
    <row r="307" spans="1:12" x14ac:dyDescent="0.3">
      <c r="A307" s="6">
        <f ca="1">Table1[[#This Row],[Date]]*1</f>
        <v>45475</v>
      </c>
      <c r="B307" t="s">
        <v>41</v>
      </c>
      <c r="C307" t="s">
        <v>11</v>
      </c>
      <c r="D307" t="s">
        <v>12</v>
      </c>
      <c r="E307" t="s">
        <v>33</v>
      </c>
      <c r="F307" t="s">
        <v>29</v>
      </c>
      <c r="G307" s="2">
        <v>11</v>
      </c>
      <c r="H307" s="2">
        <v>492.33</v>
      </c>
      <c r="I307" s="2">
        <v>672.19</v>
      </c>
      <c r="J307" s="2">
        <v>5415.63</v>
      </c>
      <c r="K307" s="2">
        <v>7394.09</v>
      </c>
      <c r="L307" s="2">
        <v>1978.46</v>
      </c>
    </row>
    <row r="308" spans="1:12" x14ac:dyDescent="0.3">
      <c r="A308" s="6">
        <f ca="1">Table1[[#This Row],[Date]]*1</f>
        <v>45306</v>
      </c>
      <c r="B308" t="s">
        <v>36</v>
      </c>
      <c r="C308" t="s">
        <v>8</v>
      </c>
      <c r="D308" t="s">
        <v>42</v>
      </c>
      <c r="E308" t="s">
        <v>35</v>
      </c>
      <c r="F308" t="s">
        <v>29</v>
      </c>
      <c r="G308" s="2">
        <v>1</v>
      </c>
      <c r="H308" s="2">
        <v>651.87</v>
      </c>
      <c r="I308" s="2">
        <v>976.69</v>
      </c>
      <c r="J308" s="2">
        <v>651.87</v>
      </c>
      <c r="K308" s="2">
        <v>976.69</v>
      </c>
      <c r="L308" s="2">
        <v>324.82</v>
      </c>
    </row>
    <row r="309" spans="1:12" x14ac:dyDescent="0.3">
      <c r="A309" s="6">
        <f ca="1">Table1[[#This Row],[Date]]*1</f>
        <v>45374</v>
      </c>
      <c r="B309" t="s">
        <v>30</v>
      </c>
      <c r="C309" t="s">
        <v>8</v>
      </c>
      <c r="D309" t="s">
        <v>42</v>
      </c>
      <c r="E309" t="s">
        <v>35</v>
      </c>
      <c r="F309" t="s">
        <v>29</v>
      </c>
      <c r="G309" s="2">
        <v>40</v>
      </c>
      <c r="H309" s="2">
        <v>624.25</v>
      </c>
      <c r="I309" s="2">
        <v>714.33</v>
      </c>
      <c r="J309" s="2">
        <v>24970</v>
      </c>
      <c r="K309" s="2">
        <v>28573.200000000001</v>
      </c>
      <c r="L309" s="2">
        <v>3603.2</v>
      </c>
    </row>
    <row r="310" spans="1:12" x14ac:dyDescent="0.3">
      <c r="A310" s="6">
        <f ca="1">Table1[[#This Row],[Date]]*1</f>
        <v>45486</v>
      </c>
      <c r="B310" t="s">
        <v>37</v>
      </c>
      <c r="C310" t="s">
        <v>6</v>
      </c>
      <c r="D310" t="s">
        <v>17</v>
      </c>
      <c r="E310" t="s">
        <v>43</v>
      </c>
      <c r="F310" t="s">
        <v>32</v>
      </c>
      <c r="G310" s="2">
        <v>8</v>
      </c>
      <c r="H310" s="2">
        <v>511.02</v>
      </c>
      <c r="I310" s="2">
        <v>615.74</v>
      </c>
      <c r="J310" s="2">
        <v>4088.16</v>
      </c>
      <c r="K310" s="2">
        <v>4925.92</v>
      </c>
      <c r="L310" s="2">
        <v>837.76</v>
      </c>
    </row>
    <row r="311" spans="1:12" x14ac:dyDescent="0.3">
      <c r="A311" s="6">
        <f ca="1">Table1[[#This Row],[Date]]*1</f>
        <v>45634</v>
      </c>
      <c r="B311" t="s">
        <v>34</v>
      </c>
      <c r="C311" t="s">
        <v>2</v>
      </c>
      <c r="D311" t="s">
        <v>5</v>
      </c>
      <c r="E311" t="s">
        <v>43</v>
      </c>
      <c r="F311" t="s">
        <v>32</v>
      </c>
      <c r="G311" s="2">
        <v>13</v>
      </c>
      <c r="H311" s="2">
        <v>331.09</v>
      </c>
      <c r="I311" s="2">
        <v>474.81</v>
      </c>
      <c r="J311" s="2">
        <v>4304.17</v>
      </c>
      <c r="K311" s="2">
        <v>6172.53</v>
      </c>
      <c r="L311" s="2">
        <v>1868.36</v>
      </c>
    </row>
    <row r="312" spans="1:12" x14ac:dyDescent="0.3">
      <c r="A312" s="6">
        <f ca="1">Table1[[#This Row],[Date]]*1</f>
        <v>45304</v>
      </c>
      <c r="B312" t="s">
        <v>36</v>
      </c>
      <c r="C312" t="s">
        <v>8</v>
      </c>
      <c r="D312" t="s">
        <v>9</v>
      </c>
      <c r="E312" t="s">
        <v>4</v>
      </c>
      <c r="F312" t="s">
        <v>29</v>
      </c>
      <c r="G312" s="2">
        <v>4</v>
      </c>
      <c r="H312" s="2">
        <v>968.39</v>
      </c>
      <c r="I312" s="2">
        <v>1152.8599999999999</v>
      </c>
      <c r="J312" s="2">
        <v>3873.56</v>
      </c>
      <c r="K312" s="2">
        <v>4611.4399999999996</v>
      </c>
      <c r="L312" s="2">
        <v>737.88</v>
      </c>
    </row>
    <row r="313" spans="1:12" x14ac:dyDescent="0.3">
      <c r="A313" s="6">
        <f ca="1">Table1[[#This Row],[Date]]*1</f>
        <v>45387</v>
      </c>
      <c r="B313" t="s">
        <v>36</v>
      </c>
      <c r="C313" t="s">
        <v>2</v>
      </c>
      <c r="D313" t="s">
        <v>3</v>
      </c>
      <c r="E313" t="s">
        <v>40</v>
      </c>
      <c r="F313" t="s">
        <v>32</v>
      </c>
      <c r="G313" s="2">
        <v>7</v>
      </c>
      <c r="H313" s="2">
        <v>899.34</v>
      </c>
      <c r="I313" s="2">
        <v>1334.5</v>
      </c>
      <c r="J313" s="2">
        <v>6295.38</v>
      </c>
      <c r="K313" s="2">
        <v>9341.5</v>
      </c>
      <c r="L313" s="2">
        <v>3046.12</v>
      </c>
    </row>
    <row r="314" spans="1:12" x14ac:dyDescent="0.3">
      <c r="A314" s="6">
        <f ca="1">Table1[[#This Row],[Date]]*1</f>
        <v>45525</v>
      </c>
      <c r="B314" t="s">
        <v>34</v>
      </c>
      <c r="C314" t="s">
        <v>8</v>
      </c>
      <c r="D314" t="s">
        <v>9</v>
      </c>
      <c r="E314" t="s">
        <v>43</v>
      </c>
      <c r="F314" t="s">
        <v>32</v>
      </c>
      <c r="G314" s="2">
        <v>39</v>
      </c>
      <c r="H314" s="2">
        <v>536.29</v>
      </c>
      <c r="I314" s="2">
        <v>706.94</v>
      </c>
      <c r="J314" s="2">
        <v>20915.310000000001</v>
      </c>
      <c r="K314" s="2">
        <v>27570.66</v>
      </c>
      <c r="L314" s="2">
        <v>6655.35</v>
      </c>
    </row>
    <row r="315" spans="1:12" x14ac:dyDescent="0.3">
      <c r="A315" s="6">
        <f ca="1">Table1[[#This Row],[Date]]*1</f>
        <v>45495</v>
      </c>
      <c r="B315" t="s">
        <v>36</v>
      </c>
      <c r="C315" t="s">
        <v>2</v>
      </c>
      <c r="D315" t="s">
        <v>14</v>
      </c>
      <c r="E315" t="s">
        <v>35</v>
      </c>
      <c r="F315" t="s">
        <v>29</v>
      </c>
      <c r="G315" s="2">
        <v>5</v>
      </c>
      <c r="H315" s="2">
        <v>655.9</v>
      </c>
      <c r="I315" s="2">
        <v>825.29</v>
      </c>
      <c r="J315" s="2">
        <v>3279.5</v>
      </c>
      <c r="K315" s="2">
        <v>4126.45</v>
      </c>
      <c r="L315" s="2">
        <v>846.95</v>
      </c>
    </row>
    <row r="316" spans="1:12" x14ac:dyDescent="0.3">
      <c r="A316" s="6">
        <f ca="1">Table1[[#This Row],[Date]]*1</f>
        <v>45641</v>
      </c>
      <c r="B316" t="s">
        <v>36</v>
      </c>
      <c r="C316" t="s">
        <v>8</v>
      </c>
      <c r="D316" t="s">
        <v>9</v>
      </c>
      <c r="E316" t="s">
        <v>33</v>
      </c>
      <c r="F316" t="s">
        <v>32</v>
      </c>
      <c r="G316" s="2">
        <v>4</v>
      </c>
      <c r="H316" s="2">
        <v>537.27</v>
      </c>
      <c r="I316" s="2">
        <v>670.46</v>
      </c>
      <c r="J316" s="2">
        <v>2149.08</v>
      </c>
      <c r="K316" s="2">
        <v>2681.84</v>
      </c>
      <c r="L316" s="2">
        <v>532.76</v>
      </c>
    </row>
    <row r="317" spans="1:12" x14ac:dyDescent="0.3">
      <c r="A317" s="6">
        <f ca="1">Table1[[#This Row],[Date]]*1</f>
        <v>45428</v>
      </c>
      <c r="B317" t="s">
        <v>38</v>
      </c>
      <c r="C317" t="s">
        <v>2</v>
      </c>
      <c r="D317" t="s">
        <v>3</v>
      </c>
      <c r="E317" t="s">
        <v>43</v>
      </c>
      <c r="F317" t="s">
        <v>32</v>
      </c>
      <c r="G317" s="2">
        <v>10</v>
      </c>
      <c r="H317" s="2">
        <v>740.7</v>
      </c>
      <c r="I317" s="2">
        <v>1055.58</v>
      </c>
      <c r="J317" s="2">
        <v>7407</v>
      </c>
      <c r="K317" s="2">
        <v>10555.8</v>
      </c>
      <c r="L317" s="2">
        <v>3148.8</v>
      </c>
    </row>
    <row r="318" spans="1:12" x14ac:dyDescent="0.3">
      <c r="A318" s="6">
        <f ca="1">Table1[[#This Row],[Date]]*1</f>
        <v>45576</v>
      </c>
      <c r="B318" t="s">
        <v>30</v>
      </c>
      <c r="C318" t="s">
        <v>8</v>
      </c>
      <c r="D318" t="s">
        <v>16</v>
      </c>
      <c r="E318" t="s">
        <v>31</v>
      </c>
      <c r="F318" t="s">
        <v>29</v>
      </c>
      <c r="G318" s="2">
        <v>42</v>
      </c>
      <c r="H318" s="2">
        <v>772.01</v>
      </c>
      <c r="I318" s="2">
        <v>1058.1300000000001</v>
      </c>
      <c r="J318" s="2">
        <v>32424.42</v>
      </c>
      <c r="K318" s="2">
        <v>44441.46</v>
      </c>
      <c r="L318" s="2">
        <v>12017.04</v>
      </c>
    </row>
    <row r="319" spans="1:12" x14ac:dyDescent="0.3">
      <c r="A319" s="6">
        <f ca="1">Table1[[#This Row],[Date]]*1</f>
        <v>45387</v>
      </c>
      <c r="B319" t="s">
        <v>37</v>
      </c>
      <c r="C319" t="s">
        <v>8</v>
      </c>
      <c r="D319" t="s">
        <v>42</v>
      </c>
      <c r="E319" t="s">
        <v>31</v>
      </c>
      <c r="F319" t="s">
        <v>32</v>
      </c>
      <c r="G319" s="2">
        <v>15</v>
      </c>
      <c r="H319" s="2">
        <v>78.430000000000007</v>
      </c>
      <c r="I319" s="2">
        <v>98.31</v>
      </c>
      <c r="J319" s="2">
        <v>1176.45</v>
      </c>
      <c r="K319" s="2">
        <v>1474.65</v>
      </c>
      <c r="L319" s="2">
        <v>298.2</v>
      </c>
    </row>
    <row r="320" spans="1:12" x14ac:dyDescent="0.3">
      <c r="A320" s="6">
        <f ca="1">Table1[[#This Row],[Date]]*1</f>
        <v>45579</v>
      </c>
      <c r="B320" t="s">
        <v>41</v>
      </c>
      <c r="C320" t="s">
        <v>11</v>
      </c>
      <c r="D320" t="s">
        <v>12</v>
      </c>
      <c r="E320" t="s">
        <v>35</v>
      </c>
      <c r="F320" t="s">
        <v>29</v>
      </c>
      <c r="G320" s="2">
        <v>38</v>
      </c>
      <c r="H320" s="2">
        <v>636.39</v>
      </c>
      <c r="I320" s="2">
        <v>818.73</v>
      </c>
      <c r="J320" s="2">
        <v>24182.82</v>
      </c>
      <c r="K320" s="2">
        <v>31111.74</v>
      </c>
      <c r="L320" s="2">
        <v>6928.92</v>
      </c>
    </row>
    <row r="321" spans="1:12" x14ac:dyDescent="0.3">
      <c r="A321" s="6">
        <f ca="1">Table1[[#This Row],[Date]]*1</f>
        <v>45550</v>
      </c>
      <c r="B321" t="s">
        <v>37</v>
      </c>
      <c r="C321" t="s">
        <v>2</v>
      </c>
      <c r="D321" t="s">
        <v>14</v>
      </c>
      <c r="E321" t="s">
        <v>33</v>
      </c>
      <c r="F321" t="s">
        <v>29</v>
      </c>
      <c r="G321" s="2">
        <v>2</v>
      </c>
      <c r="H321" s="2">
        <v>639.89</v>
      </c>
      <c r="I321" s="2">
        <v>933.51</v>
      </c>
      <c r="J321" s="2">
        <v>1279.78</v>
      </c>
      <c r="K321" s="2">
        <v>1867.02</v>
      </c>
      <c r="L321" s="2">
        <v>587.24</v>
      </c>
    </row>
    <row r="322" spans="1:12" x14ac:dyDescent="0.3">
      <c r="A322" s="6">
        <f ca="1">Table1[[#This Row],[Date]]*1</f>
        <v>45449</v>
      </c>
      <c r="B322" t="s">
        <v>37</v>
      </c>
      <c r="C322" t="s">
        <v>2</v>
      </c>
      <c r="D322" t="s">
        <v>5</v>
      </c>
      <c r="E322" t="s">
        <v>31</v>
      </c>
      <c r="F322" t="s">
        <v>29</v>
      </c>
      <c r="G322" s="2">
        <v>43</v>
      </c>
      <c r="H322" s="2">
        <v>71.819999999999993</v>
      </c>
      <c r="I322" s="2">
        <v>100.91</v>
      </c>
      <c r="J322" s="2">
        <v>3088.26</v>
      </c>
      <c r="K322" s="2">
        <v>4339.13</v>
      </c>
      <c r="L322" s="2">
        <v>1250.8699999999999</v>
      </c>
    </row>
    <row r="323" spans="1:12" x14ac:dyDescent="0.3">
      <c r="A323" s="6">
        <f ca="1">Table1[[#This Row],[Date]]*1</f>
        <v>45520</v>
      </c>
      <c r="B323" t="s">
        <v>38</v>
      </c>
      <c r="C323" t="s">
        <v>2</v>
      </c>
      <c r="D323" t="s">
        <v>14</v>
      </c>
      <c r="E323" t="s">
        <v>4</v>
      </c>
      <c r="F323" t="s">
        <v>32</v>
      </c>
      <c r="G323" s="2">
        <v>36</v>
      </c>
      <c r="H323" s="2">
        <v>349.91</v>
      </c>
      <c r="I323" s="2">
        <v>503.74</v>
      </c>
      <c r="J323" s="2">
        <v>12596.76</v>
      </c>
      <c r="K323" s="2">
        <v>18134.64</v>
      </c>
      <c r="L323" s="2">
        <v>5537.88</v>
      </c>
    </row>
    <row r="324" spans="1:12" x14ac:dyDescent="0.3">
      <c r="A324" s="6">
        <f ca="1">Table1[[#This Row],[Date]]*1</f>
        <v>45542</v>
      </c>
      <c r="B324" t="s">
        <v>36</v>
      </c>
      <c r="C324" t="s">
        <v>2</v>
      </c>
      <c r="D324" t="s">
        <v>14</v>
      </c>
      <c r="E324" t="s">
        <v>35</v>
      </c>
      <c r="F324" t="s">
        <v>29</v>
      </c>
      <c r="G324" s="2">
        <v>37</v>
      </c>
      <c r="H324" s="2">
        <v>737.67</v>
      </c>
      <c r="I324" s="2">
        <v>1100.77</v>
      </c>
      <c r="J324" s="2">
        <v>27293.79</v>
      </c>
      <c r="K324" s="2">
        <v>40728.49</v>
      </c>
      <c r="L324" s="2">
        <v>13434.7</v>
      </c>
    </row>
    <row r="325" spans="1:12" x14ac:dyDescent="0.3">
      <c r="A325" s="6">
        <f ca="1">Table1[[#This Row],[Date]]*1</f>
        <v>45342</v>
      </c>
      <c r="B325" t="s">
        <v>41</v>
      </c>
      <c r="C325" t="s">
        <v>8</v>
      </c>
      <c r="D325" t="s">
        <v>42</v>
      </c>
      <c r="E325" t="s">
        <v>4</v>
      </c>
      <c r="F325" t="s">
        <v>32</v>
      </c>
      <c r="G325" s="2">
        <v>40</v>
      </c>
      <c r="H325" s="2">
        <v>718.81</v>
      </c>
      <c r="I325" s="2">
        <v>1055.8900000000001</v>
      </c>
      <c r="J325" s="2">
        <v>28752.400000000001</v>
      </c>
      <c r="K325" s="2">
        <v>42235.6</v>
      </c>
      <c r="L325" s="2">
        <v>13483.2</v>
      </c>
    </row>
    <row r="326" spans="1:12" x14ac:dyDescent="0.3">
      <c r="A326" s="6">
        <f ca="1">Table1[[#This Row],[Date]]*1</f>
        <v>45500</v>
      </c>
      <c r="B326" t="s">
        <v>41</v>
      </c>
      <c r="C326" t="s">
        <v>6</v>
      </c>
      <c r="D326" t="s">
        <v>7</v>
      </c>
      <c r="E326" t="s">
        <v>43</v>
      </c>
      <c r="F326" t="s">
        <v>32</v>
      </c>
      <c r="G326" s="2">
        <v>40</v>
      </c>
      <c r="H326" s="2">
        <v>854</v>
      </c>
      <c r="I326" s="2">
        <v>1260.6300000000001</v>
      </c>
      <c r="J326" s="2">
        <v>34160</v>
      </c>
      <c r="K326" s="2">
        <v>50425.2</v>
      </c>
      <c r="L326" s="2">
        <v>16265.2</v>
      </c>
    </row>
    <row r="327" spans="1:12" x14ac:dyDescent="0.3">
      <c r="A327" s="6">
        <f ca="1">Table1[[#This Row],[Date]]*1</f>
        <v>45364</v>
      </c>
      <c r="B327" t="s">
        <v>37</v>
      </c>
      <c r="C327" t="s">
        <v>8</v>
      </c>
      <c r="D327" t="s">
        <v>16</v>
      </c>
      <c r="E327" t="s">
        <v>43</v>
      </c>
      <c r="F327" t="s">
        <v>32</v>
      </c>
      <c r="G327" s="2">
        <v>35</v>
      </c>
      <c r="H327" s="2">
        <v>964.54</v>
      </c>
      <c r="I327" s="2">
        <v>1089.52</v>
      </c>
      <c r="J327" s="2">
        <v>33758.9</v>
      </c>
      <c r="K327" s="2">
        <v>38133.199999999997</v>
      </c>
      <c r="L327" s="2">
        <v>4374.3</v>
      </c>
    </row>
    <row r="328" spans="1:12" x14ac:dyDescent="0.3">
      <c r="A328" s="6">
        <f ca="1">Table1[[#This Row],[Date]]*1</f>
        <v>45415</v>
      </c>
      <c r="B328" t="s">
        <v>39</v>
      </c>
      <c r="C328" t="s">
        <v>2</v>
      </c>
      <c r="D328" t="s">
        <v>3</v>
      </c>
      <c r="E328" t="s">
        <v>4</v>
      </c>
      <c r="F328" t="s">
        <v>29</v>
      </c>
      <c r="G328" s="2">
        <v>30</v>
      </c>
      <c r="H328" s="2">
        <v>81.11</v>
      </c>
      <c r="I328" s="2">
        <v>93.77</v>
      </c>
      <c r="J328" s="2">
        <v>2433.3000000000002</v>
      </c>
      <c r="K328" s="2">
        <v>2813.1</v>
      </c>
      <c r="L328" s="2">
        <v>379.8</v>
      </c>
    </row>
    <row r="329" spans="1:12" x14ac:dyDescent="0.3">
      <c r="A329" s="6">
        <f ca="1">Table1[[#This Row],[Date]]*1</f>
        <v>45455</v>
      </c>
      <c r="B329" t="s">
        <v>45</v>
      </c>
      <c r="C329" t="s">
        <v>6</v>
      </c>
      <c r="D329" t="s">
        <v>10</v>
      </c>
      <c r="E329" t="s">
        <v>4</v>
      </c>
      <c r="F329" t="s">
        <v>29</v>
      </c>
      <c r="G329" s="2">
        <v>27</v>
      </c>
      <c r="H329" s="2">
        <v>452.27</v>
      </c>
      <c r="I329" s="2">
        <v>543.30999999999995</v>
      </c>
      <c r="J329" s="2">
        <v>12211.29</v>
      </c>
      <c r="K329" s="2">
        <v>14669.37</v>
      </c>
      <c r="L329" s="2">
        <v>2458.08</v>
      </c>
    </row>
    <row r="330" spans="1:12" x14ac:dyDescent="0.3">
      <c r="A330" s="6">
        <f ca="1">Table1[[#This Row],[Date]]*1</f>
        <v>45299</v>
      </c>
      <c r="B330" t="s">
        <v>28</v>
      </c>
      <c r="C330" t="s">
        <v>8</v>
      </c>
      <c r="D330" t="s">
        <v>16</v>
      </c>
      <c r="E330" t="s">
        <v>33</v>
      </c>
      <c r="F330" t="s">
        <v>32</v>
      </c>
      <c r="G330" s="2">
        <v>26</v>
      </c>
      <c r="H330" s="2">
        <v>344.12</v>
      </c>
      <c r="I330" s="2">
        <v>475.85</v>
      </c>
      <c r="J330" s="2">
        <v>8947.1200000000008</v>
      </c>
      <c r="K330" s="2">
        <v>12372.1</v>
      </c>
      <c r="L330" s="2">
        <v>3424.98</v>
      </c>
    </row>
    <row r="331" spans="1:12" x14ac:dyDescent="0.3">
      <c r="A331" s="6">
        <f ca="1">Table1[[#This Row],[Date]]*1</f>
        <v>45586</v>
      </c>
      <c r="B331" t="s">
        <v>44</v>
      </c>
      <c r="C331" t="s">
        <v>2</v>
      </c>
      <c r="D331" t="s">
        <v>3</v>
      </c>
      <c r="E331" t="s">
        <v>35</v>
      </c>
      <c r="F331" t="s">
        <v>32</v>
      </c>
      <c r="G331" s="2">
        <v>18</v>
      </c>
      <c r="H331" s="2">
        <v>56.58</v>
      </c>
      <c r="I331" s="2">
        <v>70.150000000000006</v>
      </c>
      <c r="J331" s="2">
        <v>1018.44</v>
      </c>
      <c r="K331" s="2">
        <v>1262.7</v>
      </c>
      <c r="L331" s="2">
        <v>244.26</v>
      </c>
    </row>
    <row r="332" spans="1:12" x14ac:dyDescent="0.3">
      <c r="A332" s="6">
        <f ca="1">Table1[[#This Row],[Date]]*1</f>
        <v>45442</v>
      </c>
      <c r="B332" t="s">
        <v>38</v>
      </c>
      <c r="C332" t="s">
        <v>11</v>
      </c>
      <c r="D332" t="s">
        <v>13</v>
      </c>
      <c r="E332" t="s">
        <v>40</v>
      </c>
      <c r="F332" t="s">
        <v>32</v>
      </c>
      <c r="G332" s="2">
        <v>5</v>
      </c>
      <c r="H332" s="2">
        <v>331.89</v>
      </c>
      <c r="I332" s="2">
        <v>483.36</v>
      </c>
      <c r="J332" s="2">
        <v>1659.45</v>
      </c>
      <c r="K332" s="2">
        <v>2416.8000000000002</v>
      </c>
      <c r="L332" s="2">
        <v>757.35</v>
      </c>
    </row>
    <row r="333" spans="1:12" x14ac:dyDescent="0.3">
      <c r="A333" s="6">
        <f ca="1">Table1[[#This Row],[Date]]*1</f>
        <v>45576</v>
      </c>
      <c r="B333" t="s">
        <v>45</v>
      </c>
      <c r="C333" t="s">
        <v>11</v>
      </c>
      <c r="D333" t="s">
        <v>15</v>
      </c>
      <c r="E333" t="s">
        <v>40</v>
      </c>
      <c r="F333" t="s">
        <v>32</v>
      </c>
      <c r="G333" s="2">
        <v>46</v>
      </c>
      <c r="H333" s="2">
        <v>407.88</v>
      </c>
      <c r="I333" s="2">
        <v>542.65</v>
      </c>
      <c r="J333" s="2">
        <v>18762.48</v>
      </c>
      <c r="K333" s="2">
        <v>24961.9</v>
      </c>
      <c r="L333" s="2">
        <v>6199.42</v>
      </c>
    </row>
    <row r="334" spans="1:12" x14ac:dyDescent="0.3">
      <c r="A334" s="6">
        <f ca="1">Table1[[#This Row],[Date]]*1</f>
        <v>45623</v>
      </c>
      <c r="B334" t="s">
        <v>37</v>
      </c>
      <c r="C334" t="s">
        <v>8</v>
      </c>
      <c r="D334" t="s">
        <v>16</v>
      </c>
      <c r="E334" t="s">
        <v>40</v>
      </c>
      <c r="F334" t="s">
        <v>29</v>
      </c>
      <c r="G334" s="2">
        <v>6</v>
      </c>
      <c r="H334" s="2">
        <v>477.97</v>
      </c>
      <c r="I334" s="2">
        <v>580.04999999999995</v>
      </c>
      <c r="J334" s="2">
        <v>2867.82</v>
      </c>
      <c r="K334" s="2">
        <v>3480.3</v>
      </c>
      <c r="L334" s="2">
        <v>612.48</v>
      </c>
    </row>
    <row r="335" spans="1:12" x14ac:dyDescent="0.3">
      <c r="A335" s="6">
        <f ca="1">Table1[[#This Row],[Date]]*1</f>
        <v>45452</v>
      </c>
      <c r="B335" t="s">
        <v>37</v>
      </c>
      <c r="C335" t="s">
        <v>11</v>
      </c>
      <c r="D335" t="s">
        <v>12</v>
      </c>
      <c r="E335" t="s">
        <v>4</v>
      </c>
      <c r="F335" t="s">
        <v>29</v>
      </c>
      <c r="G335" s="2">
        <v>38</v>
      </c>
      <c r="H335" s="2">
        <v>669.98</v>
      </c>
      <c r="I335" s="2">
        <v>914.14</v>
      </c>
      <c r="J335" s="2">
        <v>25459.24</v>
      </c>
      <c r="K335" s="2">
        <v>34737.32</v>
      </c>
      <c r="L335" s="2">
        <v>9278.08</v>
      </c>
    </row>
    <row r="336" spans="1:12" x14ac:dyDescent="0.3">
      <c r="A336" s="6">
        <f ca="1">Table1[[#This Row],[Date]]*1</f>
        <v>45491</v>
      </c>
      <c r="B336" t="s">
        <v>41</v>
      </c>
      <c r="C336" t="s">
        <v>6</v>
      </c>
      <c r="D336" t="s">
        <v>17</v>
      </c>
      <c r="E336" t="s">
        <v>35</v>
      </c>
      <c r="F336" t="s">
        <v>29</v>
      </c>
      <c r="G336" s="2">
        <v>29</v>
      </c>
      <c r="H336" s="2">
        <v>114.85</v>
      </c>
      <c r="I336" s="2">
        <v>137.97</v>
      </c>
      <c r="J336" s="2">
        <v>3330.65</v>
      </c>
      <c r="K336" s="2">
        <v>4001.13</v>
      </c>
      <c r="L336" s="2">
        <v>670.48</v>
      </c>
    </row>
    <row r="337" spans="1:12" x14ac:dyDescent="0.3">
      <c r="A337" s="6">
        <f ca="1">Table1[[#This Row],[Date]]*1</f>
        <v>45560</v>
      </c>
      <c r="B337" t="s">
        <v>41</v>
      </c>
      <c r="C337" t="s">
        <v>8</v>
      </c>
      <c r="D337" t="s">
        <v>16</v>
      </c>
      <c r="E337" t="s">
        <v>33</v>
      </c>
      <c r="F337" t="s">
        <v>29</v>
      </c>
      <c r="G337" s="2">
        <v>29</v>
      </c>
      <c r="H337" s="2">
        <v>840.26</v>
      </c>
      <c r="I337" s="2">
        <v>1241.55</v>
      </c>
      <c r="J337" s="2">
        <v>24367.54</v>
      </c>
      <c r="K337" s="2">
        <v>36004.949999999997</v>
      </c>
      <c r="L337" s="2">
        <v>11637.41</v>
      </c>
    </row>
    <row r="338" spans="1:12" x14ac:dyDescent="0.3">
      <c r="A338" s="6">
        <f ca="1">Table1[[#This Row],[Date]]*1</f>
        <v>45623</v>
      </c>
      <c r="B338" t="s">
        <v>36</v>
      </c>
      <c r="C338" t="s">
        <v>6</v>
      </c>
      <c r="D338" t="s">
        <v>10</v>
      </c>
      <c r="E338" t="s">
        <v>43</v>
      </c>
      <c r="F338" t="s">
        <v>29</v>
      </c>
      <c r="G338" s="2">
        <v>48</v>
      </c>
      <c r="H338" s="2">
        <v>191.29</v>
      </c>
      <c r="I338" s="2">
        <v>219.12</v>
      </c>
      <c r="J338" s="2">
        <v>9181.92</v>
      </c>
      <c r="K338" s="2">
        <v>10517.76</v>
      </c>
      <c r="L338" s="2">
        <v>1335.84</v>
      </c>
    </row>
    <row r="339" spans="1:12" x14ac:dyDescent="0.3">
      <c r="A339" s="6">
        <f ca="1">Table1[[#This Row],[Date]]*1</f>
        <v>45304</v>
      </c>
      <c r="B339" t="s">
        <v>44</v>
      </c>
      <c r="C339" t="s">
        <v>6</v>
      </c>
      <c r="D339" t="s">
        <v>7</v>
      </c>
      <c r="E339" t="s">
        <v>43</v>
      </c>
      <c r="F339" t="s">
        <v>29</v>
      </c>
      <c r="G339" s="2">
        <v>23</v>
      </c>
      <c r="H339" s="2">
        <v>85.35</v>
      </c>
      <c r="I339" s="2">
        <v>95.22</v>
      </c>
      <c r="J339" s="2">
        <v>1963.05</v>
      </c>
      <c r="K339" s="2">
        <v>2190.06</v>
      </c>
      <c r="L339" s="2">
        <v>227.01</v>
      </c>
    </row>
    <row r="340" spans="1:12" x14ac:dyDescent="0.3">
      <c r="A340" s="6">
        <f ca="1">Table1[[#This Row],[Date]]*1</f>
        <v>45436</v>
      </c>
      <c r="B340" t="s">
        <v>37</v>
      </c>
      <c r="C340" t="s">
        <v>11</v>
      </c>
      <c r="D340" t="s">
        <v>13</v>
      </c>
      <c r="E340" t="s">
        <v>40</v>
      </c>
      <c r="F340" t="s">
        <v>29</v>
      </c>
      <c r="G340" s="2">
        <v>25</v>
      </c>
      <c r="H340" s="2">
        <v>749.62</v>
      </c>
      <c r="I340" s="2">
        <v>836.46</v>
      </c>
      <c r="J340" s="2">
        <v>18740.5</v>
      </c>
      <c r="K340" s="2">
        <v>20911.5</v>
      </c>
      <c r="L340" s="2">
        <v>2171</v>
      </c>
    </row>
    <row r="341" spans="1:12" x14ac:dyDescent="0.3">
      <c r="A341" s="6">
        <f ca="1">Table1[[#This Row],[Date]]*1</f>
        <v>45579</v>
      </c>
      <c r="B341" t="s">
        <v>30</v>
      </c>
      <c r="C341" t="s">
        <v>8</v>
      </c>
      <c r="D341" t="s">
        <v>16</v>
      </c>
      <c r="E341" t="s">
        <v>4</v>
      </c>
      <c r="F341" t="s">
        <v>29</v>
      </c>
      <c r="G341" s="2">
        <v>34</v>
      </c>
      <c r="H341" s="2">
        <v>684.86</v>
      </c>
      <c r="I341" s="2">
        <v>912.82</v>
      </c>
      <c r="J341" s="2">
        <v>23285.24</v>
      </c>
      <c r="K341" s="2">
        <v>31035.88</v>
      </c>
      <c r="L341" s="2">
        <v>7750.64</v>
      </c>
    </row>
    <row r="342" spans="1:12" x14ac:dyDescent="0.3">
      <c r="A342" s="6">
        <f ca="1">Table1[[#This Row],[Date]]*1</f>
        <v>45531</v>
      </c>
      <c r="B342" t="s">
        <v>45</v>
      </c>
      <c r="C342" t="s">
        <v>11</v>
      </c>
      <c r="D342" t="s">
        <v>13</v>
      </c>
      <c r="E342" t="s">
        <v>35</v>
      </c>
      <c r="F342" t="s">
        <v>32</v>
      </c>
      <c r="G342" s="2">
        <v>24</v>
      </c>
      <c r="H342" s="2">
        <v>822.76</v>
      </c>
      <c r="I342" s="2">
        <v>1215.4000000000001</v>
      </c>
      <c r="J342" s="2">
        <v>19746.240000000002</v>
      </c>
      <c r="K342" s="2">
        <v>29169.599999999999</v>
      </c>
      <c r="L342" s="2">
        <v>9423.36</v>
      </c>
    </row>
    <row r="343" spans="1:12" x14ac:dyDescent="0.3">
      <c r="A343" s="6">
        <f ca="1">Table1[[#This Row],[Date]]*1</f>
        <v>45328</v>
      </c>
      <c r="B343" t="s">
        <v>38</v>
      </c>
      <c r="C343" t="s">
        <v>11</v>
      </c>
      <c r="D343" t="s">
        <v>12</v>
      </c>
      <c r="E343" t="s">
        <v>40</v>
      </c>
      <c r="F343" t="s">
        <v>32</v>
      </c>
      <c r="G343" s="2">
        <v>2</v>
      </c>
      <c r="H343" s="2">
        <v>634.46</v>
      </c>
      <c r="I343" s="2">
        <v>807.06</v>
      </c>
      <c r="J343" s="2">
        <v>1268.92</v>
      </c>
      <c r="K343" s="2">
        <v>1614.12</v>
      </c>
      <c r="L343" s="2">
        <v>345.2</v>
      </c>
    </row>
    <row r="344" spans="1:12" x14ac:dyDescent="0.3">
      <c r="A344" s="6">
        <f ca="1">Table1[[#This Row],[Date]]*1</f>
        <v>45340</v>
      </c>
      <c r="B344" t="s">
        <v>38</v>
      </c>
      <c r="C344" t="s">
        <v>6</v>
      </c>
      <c r="D344" t="s">
        <v>7</v>
      </c>
      <c r="E344" t="s">
        <v>40</v>
      </c>
      <c r="F344" t="s">
        <v>32</v>
      </c>
      <c r="G344" s="2">
        <v>35</v>
      </c>
      <c r="H344" s="2">
        <v>811.22</v>
      </c>
      <c r="I344" s="2">
        <v>901.76</v>
      </c>
      <c r="J344" s="2">
        <v>28392.7</v>
      </c>
      <c r="K344" s="2">
        <v>31561.599999999999</v>
      </c>
      <c r="L344" s="2">
        <v>3168.9</v>
      </c>
    </row>
    <row r="345" spans="1:12" x14ac:dyDescent="0.3">
      <c r="A345" s="6">
        <f ca="1">Table1[[#This Row],[Date]]*1</f>
        <v>45391</v>
      </c>
      <c r="B345" t="s">
        <v>36</v>
      </c>
      <c r="C345" t="s">
        <v>6</v>
      </c>
      <c r="D345" t="s">
        <v>17</v>
      </c>
      <c r="E345" t="s">
        <v>43</v>
      </c>
      <c r="F345" t="s">
        <v>29</v>
      </c>
      <c r="G345" s="2">
        <v>23</v>
      </c>
      <c r="H345" s="2">
        <v>752.13</v>
      </c>
      <c r="I345" s="2">
        <v>1034.49</v>
      </c>
      <c r="J345" s="2">
        <v>17298.990000000002</v>
      </c>
      <c r="K345" s="2">
        <v>23793.27</v>
      </c>
      <c r="L345" s="2">
        <v>6494.28</v>
      </c>
    </row>
    <row r="346" spans="1:12" x14ac:dyDescent="0.3">
      <c r="A346" s="6">
        <f ca="1">Table1[[#This Row],[Date]]*1</f>
        <v>45379</v>
      </c>
      <c r="B346" t="s">
        <v>45</v>
      </c>
      <c r="C346" t="s">
        <v>6</v>
      </c>
      <c r="D346" t="s">
        <v>17</v>
      </c>
      <c r="E346" t="s">
        <v>4</v>
      </c>
      <c r="F346" t="s">
        <v>29</v>
      </c>
      <c r="G346" s="2">
        <v>37</v>
      </c>
      <c r="H346" s="2">
        <v>469.35</v>
      </c>
      <c r="I346" s="2">
        <v>547.66999999999996</v>
      </c>
      <c r="J346" s="2">
        <v>17365.95</v>
      </c>
      <c r="K346" s="2">
        <v>20263.79</v>
      </c>
      <c r="L346" s="2">
        <v>2897.84</v>
      </c>
    </row>
    <row r="347" spans="1:12" x14ac:dyDescent="0.3">
      <c r="A347" s="6">
        <f ca="1">Table1[[#This Row],[Date]]*1</f>
        <v>45584</v>
      </c>
      <c r="B347" t="s">
        <v>36</v>
      </c>
      <c r="C347" t="s">
        <v>8</v>
      </c>
      <c r="D347" t="s">
        <v>9</v>
      </c>
      <c r="E347" t="s">
        <v>33</v>
      </c>
      <c r="F347" t="s">
        <v>32</v>
      </c>
      <c r="G347" s="2">
        <v>30</v>
      </c>
      <c r="H347" s="2">
        <v>882.17</v>
      </c>
      <c r="I347" s="2">
        <v>1081.29</v>
      </c>
      <c r="J347" s="2">
        <v>26465.1</v>
      </c>
      <c r="K347" s="2">
        <v>32438.7</v>
      </c>
      <c r="L347" s="2">
        <v>5973.6</v>
      </c>
    </row>
    <row r="348" spans="1:12" x14ac:dyDescent="0.3">
      <c r="A348" s="6">
        <f ca="1">Table1[[#This Row],[Date]]*1</f>
        <v>45432</v>
      </c>
      <c r="B348" t="s">
        <v>28</v>
      </c>
      <c r="C348" t="s">
        <v>11</v>
      </c>
      <c r="D348" t="s">
        <v>12</v>
      </c>
      <c r="E348" t="s">
        <v>4</v>
      </c>
      <c r="F348" t="s">
        <v>32</v>
      </c>
      <c r="G348" s="2">
        <v>21</v>
      </c>
      <c r="H348" s="2">
        <v>614.26</v>
      </c>
      <c r="I348" s="2">
        <v>844.42</v>
      </c>
      <c r="J348" s="2">
        <v>12899.46</v>
      </c>
      <c r="K348" s="2">
        <v>17732.82</v>
      </c>
      <c r="L348" s="2">
        <v>4833.3599999999997</v>
      </c>
    </row>
    <row r="349" spans="1:12" x14ac:dyDescent="0.3">
      <c r="A349" s="6">
        <f ca="1">Table1[[#This Row],[Date]]*1</f>
        <v>45622</v>
      </c>
      <c r="B349" t="s">
        <v>44</v>
      </c>
      <c r="C349" t="s">
        <v>8</v>
      </c>
      <c r="D349" t="s">
        <v>42</v>
      </c>
      <c r="E349" t="s">
        <v>43</v>
      </c>
      <c r="F349" t="s">
        <v>29</v>
      </c>
      <c r="G349" s="2">
        <v>21</v>
      </c>
      <c r="H349" s="2">
        <v>121.03</v>
      </c>
      <c r="I349" s="2">
        <v>138.65</v>
      </c>
      <c r="J349" s="2">
        <v>2541.63</v>
      </c>
      <c r="K349" s="2">
        <v>2911.65</v>
      </c>
      <c r="L349" s="2">
        <v>370.02</v>
      </c>
    </row>
    <row r="350" spans="1:12" x14ac:dyDescent="0.3">
      <c r="A350" s="6">
        <f ca="1">Table1[[#This Row],[Date]]*1</f>
        <v>45493</v>
      </c>
      <c r="B350" t="s">
        <v>37</v>
      </c>
      <c r="C350" t="s">
        <v>2</v>
      </c>
      <c r="D350" t="s">
        <v>14</v>
      </c>
      <c r="E350" t="s">
        <v>31</v>
      </c>
      <c r="F350" t="s">
        <v>29</v>
      </c>
      <c r="G350" s="2">
        <v>49</v>
      </c>
      <c r="H350" s="2">
        <v>966.51</v>
      </c>
      <c r="I350" s="2">
        <v>1251.1099999999999</v>
      </c>
      <c r="J350" s="2">
        <v>47358.99</v>
      </c>
      <c r="K350" s="2">
        <v>61304.39</v>
      </c>
      <c r="L350" s="2">
        <v>13945.4</v>
      </c>
    </row>
    <row r="351" spans="1:12" x14ac:dyDescent="0.3">
      <c r="A351" s="6">
        <f ca="1">Table1[[#This Row],[Date]]*1</f>
        <v>45529</v>
      </c>
      <c r="B351" t="s">
        <v>34</v>
      </c>
      <c r="C351" t="s">
        <v>11</v>
      </c>
      <c r="D351" t="s">
        <v>12</v>
      </c>
      <c r="E351" t="s">
        <v>4</v>
      </c>
      <c r="F351" t="s">
        <v>29</v>
      </c>
      <c r="G351" s="2">
        <v>48</v>
      </c>
      <c r="H351" s="2">
        <v>805.06</v>
      </c>
      <c r="I351" s="2">
        <v>920.1</v>
      </c>
      <c r="J351" s="2">
        <v>38642.879999999997</v>
      </c>
      <c r="K351" s="2">
        <v>44164.800000000003</v>
      </c>
      <c r="L351" s="2">
        <v>5521.92</v>
      </c>
    </row>
    <row r="352" spans="1:12" x14ac:dyDescent="0.3">
      <c r="A352" s="6">
        <f ca="1">Table1[[#This Row],[Date]]*1</f>
        <v>45635</v>
      </c>
      <c r="B352" t="s">
        <v>37</v>
      </c>
      <c r="C352" t="s">
        <v>2</v>
      </c>
      <c r="D352" t="s">
        <v>14</v>
      </c>
      <c r="E352" t="s">
        <v>43</v>
      </c>
      <c r="F352" t="s">
        <v>29</v>
      </c>
      <c r="G352" s="2">
        <v>49</v>
      </c>
      <c r="H352" s="2">
        <v>67.87</v>
      </c>
      <c r="I352" s="2">
        <v>100.6</v>
      </c>
      <c r="J352" s="2">
        <v>3325.63</v>
      </c>
      <c r="K352" s="2">
        <v>4929.3999999999996</v>
      </c>
      <c r="L352" s="2">
        <v>1603.77</v>
      </c>
    </row>
    <row r="353" spans="1:12" x14ac:dyDescent="0.3">
      <c r="A353" s="6">
        <f ca="1">Table1[[#This Row],[Date]]*1</f>
        <v>45648</v>
      </c>
      <c r="B353" t="s">
        <v>45</v>
      </c>
      <c r="C353" t="s">
        <v>11</v>
      </c>
      <c r="D353" t="s">
        <v>12</v>
      </c>
      <c r="E353" t="s">
        <v>33</v>
      </c>
      <c r="F353" t="s">
        <v>29</v>
      </c>
      <c r="G353" s="2">
        <v>32</v>
      </c>
      <c r="H353" s="2">
        <v>936.13</v>
      </c>
      <c r="I353" s="2">
        <v>1268.73</v>
      </c>
      <c r="J353" s="2">
        <v>29956.16</v>
      </c>
      <c r="K353" s="2">
        <v>40599.360000000001</v>
      </c>
      <c r="L353" s="2">
        <v>10643.2</v>
      </c>
    </row>
    <row r="354" spans="1:12" x14ac:dyDescent="0.3">
      <c r="A354" s="6">
        <f ca="1">Table1[[#This Row],[Date]]*1</f>
        <v>45465</v>
      </c>
      <c r="B354" t="s">
        <v>39</v>
      </c>
      <c r="C354" t="s">
        <v>6</v>
      </c>
      <c r="D354" t="s">
        <v>7</v>
      </c>
      <c r="E354" t="s">
        <v>4</v>
      </c>
      <c r="F354" t="s">
        <v>29</v>
      </c>
      <c r="G354" s="2">
        <v>28</v>
      </c>
      <c r="H354" s="2">
        <v>675.63</v>
      </c>
      <c r="I354" s="2">
        <v>767.89</v>
      </c>
      <c r="J354" s="2">
        <v>18917.64</v>
      </c>
      <c r="K354" s="2">
        <v>21500.92</v>
      </c>
      <c r="L354" s="2">
        <v>2583.2800000000002</v>
      </c>
    </row>
    <row r="355" spans="1:12" x14ac:dyDescent="0.3">
      <c r="A355" s="6">
        <f ca="1">Table1[[#This Row],[Date]]*1</f>
        <v>45293</v>
      </c>
      <c r="B355" t="s">
        <v>44</v>
      </c>
      <c r="C355" t="s">
        <v>11</v>
      </c>
      <c r="D355" t="s">
        <v>13</v>
      </c>
      <c r="E355" t="s">
        <v>40</v>
      </c>
      <c r="F355" t="s">
        <v>29</v>
      </c>
      <c r="G355" s="2">
        <v>23</v>
      </c>
      <c r="H355" s="2">
        <v>766</v>
      </c>
      <c r="I355" s="2">
        <v>958.26</v>
      </c>
      <c r="J355" s="2">
        <v>17618</v>
      </c>
      <c r="K355" s="2">
        <v>22039.98</v>
      </c>
      <c r="L355" s="2">
        <v>4421.9799999999996</v>
      </c>
    </row>
    <row r="356" spans="1:12" x14ac:dyDescent="0.3">
      <c r="A356" s="6">
        <f ca="1">Table1[[#This Row],[Date]]*1</f>
        <v>45552</v>
      </c>
      <c r="B356" t="s">
        <v>28</v>
      </c>
      <c r="C356" t="s">
        <v>2</v>
      </c>
      <c r="D356" t="s">
        <v>3</v>
      </c>
      <c r="E356" t="s">
        <v>31</v>
      </c>
      <c r="F356" t="s">
        <v>32</v>
      </c>
      <c r="G356" s="2">
        <v>24</v>
      </c>
      <c r="H356" s="2">
        <v>450.59</v>
      </c>
      <c r="I356" s="2">
        <v>589.51</v>
      </c>
      <c r="J356" s="2">
        <v>10814.16</v>
      </c>
      <c r="K356" s="2">
        <v>14148.24</v>
      </c>
      <c r="L356" s="2">
        <v>3334.08</v>
      </c>
    </row>
    <row r="357" spans="1:12" x14ac:dyDescent="0.3">
      <c r="A357" s="6">
        <f ca="1">Table1[[#This Row],[Date]]*1</f>
        <v>45381</v>
      </c>
      <c r="B357" t="s">
        <v>39</v>
      </c>
      <c r="C357" t="s">
        <v>2</v>
      </c>
      <c r="D357" t="s">
        <v>5</v>
      </c>
      <c r="E357" t="s">
        <v>40</v>
      </c>
      <c r="F357" t="s">
        <v>32</v>
      </c>
      <c r="G357" s="2">
        <v>13</v>
      </c>
      <c r="H357" s="2">
        <v>396.45</v>
      </c>
      <c r="I357" s="2">
        <v>591.22</v>
      </c>
      <c r="J357" s="2">
        <v>5153.8500000000004</v>
      </c>
      <c r="K357" s="2">
        <v>7685.86</v>
      </c>
      <c r="L357" s="2">
        <v>2532.0100000000002</v>
      </c>
    </row>
    <row r="358" spans="1:12" x14ac:dyDescent="0.3">
      <c r="A358" s="6">
        <f ca="1">Table1[[#This Row],[Date]]*1</f>
        <v>45367</v>
      </c>
      <c r="B358" t="s">
        <v>38</v>
      </c>
      <c r="C358" t="s">
        <v>2</v>
      </c>
      <c r="D358" t="s">
        <v>3</v>
      </c>
      <c r="E358" t="s">
        <v>4</v>
      </c>
      <c r="F358" t="s">
        <v>32</v>
      </c>
      <c r="G358" s="2">
        <v>32</v>
      </c>
      <c r="H358" s="2">
        <v>486.22</v>
      </c>
      <c r="I358" s="2">
        <v>564.79</v>
      </c>
      <c r="J358" s="2">
        <v>15559.04</v>
      </c>
      <c r="K358" s="2">
        <v>18073.28</v>
      </c>
      <c r="L358" s="2">
        <v>2514.2399999999998</v>
      </c>
    </row>
    <row r="359" spans="1:12" x14ac:dyDescent="0.3">
      <c r="A359" s="6">
        <f ca="1">Table1[[#This Row],[Date]]*1</f>
        <v>45358</v>
      </c>
      <c r="B359" t="s">
        <v>30</v>
      </c>
      <c r="C359" t="s">
        <v>11</v>
      </c>
      <c r="D359" t="s">
        <v>12</v>
      </c>
      <c r="E359" t="s">
        <v>43</v>
      </c>
      <c r="F359" t="s">
        <v>32</v>
      </c>
      <c r="G359" s="2">
        <v>17</v>
      </c>
      <c r="H359" s="2">
        <v>652.42999999999995</v>
      </c>
      <c r="I359" s="2">
        <v>952.04</v>
      </c>
      <c r="J359" s="2">
        <v>11091.31</v>
      </c>
      <c r="K359" s="2">
        <v>16184.68</v>
      </c>
      <c r="L359" s="2">
        <v>5093.37</v>
      </c>
    </row>
    <row r="360" spans="1:12" x14ac:dyDescent="0.3">
      <c r="A360" s="6">
        <f ca="1">Table1[[#This Row],[Date]]*1</f>
        <v>45436</v>
      </c>
      <c r="B360" t="s">
        <v>34</v>
      </c>
      <c r="C360" t="s">
        <v>2</v>
      </c>
      <c r="D360" t="s">
        <v>5</v>
      </c>
      <c r="E360" t="s">
        <v>33</v>
      </c>
      <c r="F360" t="s">
        <v>32</v>
      </c>
      <c r="G360" s="2">
        <v>35</v>
      </c>
      <c r="H360" s="2">
        <v>808.28</v>
      </c>
      <c r="I360" s="2">
        <v>911.85</v>
      </c>
      <c r="J360" s="2">
        <v>28289.8</v>
      </c>
      <c r="K360" s="2">
        <v>31914.75</v>
      </c>
      <c r="L360" s="2">
        <v>3624.95</v>
      </c>
    </row>
    <row r="361" spans="1:12" x14ac:dyDescent="0.3">
      <c r="A361" s="6">
        <f ca="1">Table1[[#This Row],[Date]]*1</f>
        <v>45333</v>
      </c>
      <c r="B361" t="s">
        <v>36</v>
      </c>
      <c r="C361" t="s">
        <v>2</v>
      </c>
      <c r="D361" t="s">
        <v>14</v>
      </c>
      <c r="E361" t="s">
        <v>35</v>
      </c>
      <c r="F361" t="s">
        <v>32</v>
      </c>
      <c r="G361" s="2">
        <v>50</v>
      </c>
      <c r="H361" s="2">
        <v>787.56</v>
      </c>
      <c r="I361" s="2">
        <v>958.94</v>
      </c>
      <c r="J361" s="2">
        <v>39378</v>
      </c>
      <c r="K361" s="2">
        <v>47947</v>
      </c>
      <c r="L361" s="2">
        <v>8569</v>
      </c>
    </row>
    <row r="362" spans="1:12" x14ac:dyDescent="0.3">
      <c r="A362" s="6">
        <f ca="1">Table1[[#This Row],[Date]]*1</f>
        <v>45573</v>
      </c>
      <c r="B362" t="s">
        <v>38</v>
      </c>
      <c r="C362" t="s">
        <v>2</v>
      </c>
      <c r="D362" t="s">
        <v>14</v>
      </c>
      <c r="E362" t="s">
        <v>33</v>
      </c>
      <c r="F362" t="s">
        <v>29</v>
      </c>
      <c r="G362" s="2">
        <v>29</v>
      </c>
      <c r="H362" s="2">
        <v>519.62</v>
      </c>
      <c r="I362" s="2">
        <v>747.98</v>
      </c>
      <c r="J362" s="2">
        <v>15068.98</v>
      </c>
      <c r="K362" s="2">
        <v>21691.42</v>
      </c>
      <c r="L362" s="2">
        <v>6622.44</v>
      </c>
    </row>
    <row r="363" spans="1:12" x14ac:dyDescent="0.3">
      <c r="A363" s="6">
        <f ca="1">Table1[[#This Row],[Date]]*1</f>
        <v>45396</v>
      </c>
      <c r="B363" t="s">
        <v>44</v>
      </c>
      <c r="C363" t="s">
        <v>2</v>
      </c>
      <c r="D363" t="s">
        <v>14</v>
      </c>
      <c r="E363" t="s">
        <v>35</v>
      </c>
      <c r="F363" t="s">
        <v>29</v>
      </c>
      <c r="G363" s="2">
        <v>20</v>
      </c>
      <c r="H363" s="2">
        <v>662.64</v>
      </c>
      <c r="I363" s="2">
        <v>794.24</v>
      </c>
      <c r="J363" s="2">
        <v>13252.8</v>
      </c>
      <c r="K363" s="2">
        <v>15884.8</v>
      </c>
      <c r="L363" s="2">
        <v>2632</v>
      </c>
    </row>
    <row r="364" spans="1:12" x14ac:dyDescent="0.3">
      <c r="A364" s="6">
        <f ca="1">Table1[[#This Row],[Date]]*1</f>
        <v>45594</v>
      </c>
      <c r="B364" t="s">
        <v>28</v>
      </c>
      <c r="C364" t="s">
        <v>11</v>
      </c>
      <c r="D364" t="s">
        <v>13</v>
      </c>
      <c r="E364" t="s">
        <v>4</v>
      </c>
      <c r="F364" t="s">
        <v>32</v>
      </c>
      <c r="G364" s="2">
        <v>40</v>
      </c>
      <c r="H364" s="2">
        <v>260.86</v>
      </c>
      <c r="I364" s="2">
        <v>354.64</v>
      </c>
      <c r="J364" s="2">
        <v>10434.4</v>
      </c>
      <c r="K364" s="2">
        <v>14185.6</v>
      </c>
      <c r="L364" s="2">
        <v>3751.2</v>
      </c>
    </row>
    <row r="365" spans="1:12" x14ac:dyDescent="0.3">
      <c r="A365" s="6">
        <f ca="1">Table1[[#This Row],[Date]]*1</f>
        <v>45414</v>
      </c>
      <c r="B365" t="s">
        <v>37</v>
      </c>
      <c r="C365" t="s">
        <v>2</v>
      </c>
      <c r="D365" t="s">
        <v>14</v>
      </c>
      <c r="E365" t="s">
        <v>40</v>
      </c>
      <c r="F365" t="s">
        <v>32</v>
      </c>
      <c r="G365" s="2">
        <v>28</v>
      </c>
      <c r="H365" s="2">
        <v>452.7</v>
      </c>
      <c r="I365" s="2">
        <v>665.96</v>
      </c>
      <c r="J365" s="2">
        <v>12675.6</v>
      </c>
      <c r="K365" s="2">
        <v>18646.88</v>
      </c>
      <c r="L365" s="2">
        <v>5971.28</v>
      </c>
    </row>
    <row r="366" spans="1:12" x14ac:dyDescent="0.3">
      <c r="A366" s="6">
        <f ca="1">Table1[[#This Row],[Date]]*1</f>
        <v>45451</v>
      </c>
      <c r="B366" t="s">
        <v>39</v>
      </c>
      <c r="C366" t="s">
        <v>2</v>
      </c>
      <c r="D366" t="s">
        <v>14</v>
      </c>
      <c r="E366" t="s">
        <v>33</v>
      </c>
      <c r="F366" t="s">
        <v>29</v>
      </c>
      <c r="G366" s="2">
        <v>1</v>
      </c>
      <c r="H366" s="2">
        <v>223.99</v>
      </c>
      <c r="I366" s="2">
        <v>298.83</v>
      </c>
      <c r="J366" s="2">
        <v>223.99</v>
      </c>
      <c r="K366" s="2">
        <v>298.83</v>
      </c>
      <c r="L366" s="2">
        <v>74.84</v>
      </c>
    </row>
    <row r="367" spans="1:12" x14ac:dyDescent="0.3">
      <c r="A367" s="6">
        <f ca="1">Table1[[#This Row],[Date]]*1</f>
        <v>45393</v>
      </c>
      <c r="B367" t="s">
        <v>28</v>
      </c>
      <c r="C367" t="s">
        <v>11</v>
      </c>
      <c r="D367" t="s">
        <v>15</v>
      </c>
      <c r="E367" t="s">
        <v>33</v>
      </c>
      <c r="F367" t="s">
        <v>29</v>
      </c>
      <c r="G367" s="2">
        <v>22</v>
      </c>
      <c r="H367" s="2">
        <v>549.59</v>
      </c>
      <c r="I367" s="2">
        <v>651.34</v>
      </c>
      <c r="J367" s="2">
        <v>12090.98</v>
      </c>
      <c r="K367" s="2">
        <v>14329.48</v>
      </c>
      <c r="L367" s="2">
        <v>2238.5</v>
      </c>
    </row>
    <row r="368" spans="1:12" x14ac:dyDescent="0.3">
      <c r="A368" s="6">
        <f ca="1">Table1[[#This Row],[Date]]*1</f>
        <v>45427</v>
      </c>
      <c r="B368" t="s">
        <v>37</v>
      </c>
      <c r="C368" t="s">
        <v>8</v>
      </c>
      <c r="D368" t="s">
        <v>42</v>
      </c>
      <c r="E368" t="s">
        <v>4</v>
      </c>
      <c r="F368" t="s">
        <v>29</v>
      </c>
      <c r="G368" s="2">
        <v>3</v>
      </c>
      <c r="H368" s="2">
        <v>786.52</v>
      </c>
      <c r="I368" s="2">
        <v>1013.29</v>
      </c>
      <c r="J368" s="2">
        <v>2359.56</v>
      </c>
      <c r="K368" s="2">
        <v>3039.87</v>
      </c>
      <c r="L368" s="2">
        <v>680.31</v>
      </c>
    </row>
    <row r="369" spans="1:12" x14ac:dyDescent="0.3">
      <c r="A369" s="6">
        <f ca="1">Table1[[#This Row],[Date]]*1</f>
        <v>45648</v>
      </c>
      <c r="B369" t="s">
        <v>36</v>
      </c>
      <c r="C369" t="s">
        <v>8</v>
      </c>
      <c r="D369" t="s">
        <v>42</v>
      </c>
      <c r="E369" t="s">
        <v>33</v>
      </c>
      <c r="F369" t="s">
        <v>29</v>
      </c>
      <c r="G369" s="2">
        <v>10</v>
      </c>
      <c r="H369" s="2">
        <v>929.32</v>
      </c>
      <c r="I369" s="2">
        <v>1202.98</v>
      </c>
      <c r="J369" s="2">
        <v>9293.2000000000007</v>
      </c>
      <c r="K369" s="2">
        <v>12029.8</v>
      </c>
      <c r="L369" s="2">
        <v>2736.6</v>
      </c>
    </row>
    <row r="370" spans="1:12" x14ac:dyDescent="0.3">
      <c r="A370" s="6">
        <f ca="1">Table1[[#This Row],[Date]]*1</f>
        <v>45320</v>
      </c>
      <c r="B370" t="s">
        <v>37</v>
      </c>
      <c r="C370" t="s">
        <v>8</v>
      </c>
      <c r="D370" t="s">
        <v>16</v>
      </c>
      <c r="E370" t="s">
        <v>43</v>
      </c>
      <c r="F370" t="s">
        <v>29</v>
      </c>
      <c r="G370" s="2">
        <v>3</v>
      </c>
      <c r="H370" s="2">
        <v>449.8</v>
      </c>
      <c r="I370" s="2">
        <v>530.29</v>
      </c>
      <c r="J370" s="2">
        <v>1349.4</v>
      </c>
      <c r="K370" s="2">
        <v>1590.87</v>
      </c>
      <c r="L370" s="2">
        <v>241.47</v>
      </c>
    </row>
    <row r="371" spans="1:12" x14ac:dyDescent="0.3">
      <c r="A371" s="6">
        <f ca="1">Table1[[#This Row],[Date]]*1</f>
        <v>45392</v>
      </c>
      <c r="B371" t="s">
        <v>36</v>
      </c>
      <c r="C371" t="s">
        <v>11</v>
      </c>
      <c r="D371" t="s">
        <v>12</v>
      </c>
      <c r="E371" t="s">
        <v>43</v>
      </c>
      <c r="F371" t="s">
        <v>29</v>
      </c>
      <c r="G371" s="2">
        <v>13</v>
      </c>
      <c r="H371" s="2">
        <v>868.82</v>
      </c>
      <c r="I371" s="2">
        <v>1122.3</v>
      </c>
      <c r="J371" s="2">
        <v>11294.66</v>
      </c>
      <c r="K371" s="2">
        <v>14589.9</v>
      </c>
      <c r="L371" s="2">
        <v>3295.24</v>
      </c>
    </row>
    <row r="372" spans="1:12" x14ac:dyDescent="0.3">
      <c r="A372" s="6">
        <f ca="1">Table1[[#This Row],[Date]]*1</f>
        <v>45388</v>
      </c>
      <c r="B372" t="s">
        <v>39</v>
      </c>
      <c r="C372" t="s">
        <v>6</v>
      </c>
      <c r="D372" t="s">
        <v>10</v>
      </c>
      <c r="E372" t="s">
        <v>33</v>
      </c>
      <c r="F372" t="s">
        <v>29</v>
      </c>
      <c r="G372" s="2">
        <v>41</v>
      </c>
      <c r="H372" s="2">
        <v>934.25</v>
      </c>
      <c r="I372" s="2">
        <v>1354.73</v>
      </c>
      <c r="J372" s="2">
        <v>38304.25</v>
      </c>
      <c r="K372" s="2">
        <v>55543.93</v>
      </c>
      <c r="L372" s="2">
        <v>17239.68</v>
      </c>
    </row>
    <row r="373" spans="1:12" x14ac:dyDescent="0.3">
      <c r="A373" s="6">
        <f ca="1">Table1[[#This Row],[Date]]*1</f>
        <v>45366</v>
      </c>
      <c r="B373" t="s">
        <v>44</v>
      </c>
      <c r="C373" t="s">
        <v>11</v>
      </c>
      <c r="D373" t="s">
        <v>12</v>
      </c>
      <c r="E373" t="s">
        <v>33</v>
      </c>
      <c r="F373" t="s">
        <v>32</v>
      </c>
      <c r="G373" s="2">
        <v>25</v>
      </c>
      <c r="H373" s="2">
        <v>662.92</v>
      </c>
      <c r="I373" s="2">
        <v>775.42</v>
      </c>
      <c r="J373" s="2">
        <v>16573</v>
      </c>
      <c r="K373" s="2">
        <v>19385.5</v>
      </c>
      <c r="L373" s="2">
        <v>2812.5</v>
      </c>
    </row>
    <row r="374" spans="1:12" x14ac:dyDescent="0.3">
      <c r="A374" s="6">
        <f ca="1">Table1[[#This Row],[Date]]*1</f>
        <v>45393</v>
      </c>
      <c r="B374" t="s">
        <v>28</v>
      </c>
      <c r="C374" t="s">
        <v>2</v>
      </c>
      <c r="D374" t="s">
        <v>3</v>
      </c>
      <c r="E374" t="s">
        <v>4</v>
      </c>
      <c r="F374" t="s">
        <v>32</v>
      </c>
      <c r="G374" s="2">
        <v>7</v>
      </c>
      <c r="H374" s="2">
        <v>543.77</v>
      </c>
      <c r="I374" s="2">
        <v>710.31</v>
      </c>
      <c r="J374" s="2">
        <v>3806.39</v>
      </c>
      <c r="K374" s="2">
        <v>4972.17</v>
      </c>
      <c r="L374" s="2">
        <v>1165.78</v>
      </c>
    </row>
    <row r="375" spans="1:12" x14ac:dyDescent="0.3">
      <c r="A375" s="6">
        <f ca="1">Table1[[#This Row],[Date]]*1</f>
        <v>45400</v>
      </c>
      <c r="B375" t="s">
        <v>38</v>
      </c>
      <c r="C375" t="s">
        <v>6</v>
      </c>
      <c r="D375" t="s">
        <v>10</v>
      </c>
      <c r="E375" t="s">
        <v>4</v>
      </c>
      <c r="F375" t="s">
        <v>29</v>
      </c>
      <c r="G375" s="2">
        <v>10</v>
      </c>
      <c r="H375" s="2">
        <v>518.89</v>
      </c>
      <c r="I375" s="2">
        <v>571.71</v>
      </c>
      <c r="J375" s="2">
        <v>5188.8999999999996</v>
      </c>
      <c r="K375" s="2">
        <v>5717.1</v>
      </c>
      <c r="L375" s="2">
        <v>528.20000000000005</v>
      </c>
    </row>
    <row r="376" spans="1:12" x14ac:dyDescent="0.3">
      <c r="A376" s="6">
        <f ca="1">Table1[[#This Row],[Date]]*1</f>
        <v>45618</v>
      </c>
      <c r="B376" t="s">
        <v>45</v>
      </c>
      <c r="C376" t="s">
        <v>6</v>
      </c>
      <c r="D376" t="s">
        <v>7</v>
      </c>
      <c r="E376" t="s">
        <v>4</v>
      </c>
      <c r="F376" t="s">
        <v>29</v>
      </c>
      <c r="G376" s="2">
        <v>38</v>
      </c>
      <c r="H376" s="2">
        <v>700.16</v>
      </c>
      <c r="I376" s="2">
        <v>1041.78</v>
      </c>
      <c r="J376" s="2">
        <v>26606.080000000002</v>
      </c>
      <c r="K376" s="2">
        <v>39587.64</v>
      </c>
      <c r="L376" s="2">
        <v>12981.56</v>
      </c>
    </row>
    <row r="377" spans="1:12" x14ac:dyDescent="0.3">
      <c r="A377" s="6">
        <f ca="1">Table1[[#This Row],[Date]]*1</f>
        <v>45630</v>
      </c>
      <c r="B377" t="s">
        <v>44</v>
      </c>
      <c r="C377" t="s">
        <v>8</v>
      </c>
      <c r="D377" t="s">
        <v>16</v>
      </c>
      <c r="E377" t="s">
        <v>43</v>
      </c>
      <c r="F377" t="s">
        <v>32</v>
      </c>
      <c r="G377" s="2">
        <v>43</v>
      </c>
      <c r="H377" s="2">
        <v>497.14</v>
      </c>
      <c r="I377" s="2">
        <v>717.25</v>
      </c>
      <c r="J377" s="2">
        <v>21377.02</v>
      </c>
      <c r="K377" s="2">
        <v>30841.75</v>
      </c>
      <c r="L377" s="2">
        <v>9464.73</v>
      </c>
    </row>
    <row r="378" spans="1:12" x14ac:dyDescent="0.3">
      <c r="A378" s="6">
        <f ca="1">Table1[[#This Row],[Date]]*1</f>
        <v>45350</v>
      </c>
      <c r="B378" t="s">
        <v>28</v>
      </c>
      <c r="C378" t="s">
        <v>11</v>
      </c>
      <c r="D378" t="s">
        <v>15</v>
      </c>
      <c r="E378" t="s">
        <v>40</v>
      </c>
      <c r="F378" t="s">
        <v>29</v>
      </c>
      <c r="G378" s="2">
        <v>37</v>
      </c>
      <c r="H378" s="2">
        <v>556.03</v>
      </c>
      <c r="I378" s="2">
        <v>748.09</v>
      </c>
      <c r="J378" s="2">
        <v>20573.11</v>
      </c>
      <c r="K378" s="2">
        <v>27679.33</v>
      </c>
      <c r="L378" s="2">
        <v>7106.22</v>
      </c>
    </row>
    <row r="379" spans="1:12" x14ac:dyDescent="0.3">
      <c r="A379" s="6">
        <f ca="1">Table1[[#This Row],[Date]]*1</f>
        <v>45605</v>
      </c>
      <c r="B379" t="s">
        <v>44</v>
      </c>
      <c r="C379" t="s">
        <v>6</v>
      </c>
      <c r="D379" t="s">
        <v>7</v>
      </c>
      <c r="E379" t="s">
        <v>33</v>
      </c>
      <c r="F379" t="s">
        <v>29</v>
      </c>
      <c r="G379" s="2">
        <v>48</v>
      </c>
      <c r="H379" s="2">
        <v>833.28</v>
      </c>
      <c r="I379" s="2">
        <v>927.15</v>
      </c>
      <c r="J379" s="2">
        <v>39997.440000000002</v>
      </c>
      <c r="K379" s="2">
        <v>44503.199999999997</v>
      </c>
      <c r="L379" s="2">
        <v>4505.76</v>
      </c>
    </row>
    <row r="380" spans="1:12" x14ac:dyDescent="0.3">
      <c r="A380" s="6">
        <f ca="1">Table1[[#This Row],[Date]]*1</f>
        <v>45430</v>
      </c>
      <c r="B380" t="s">
        <v>30</v>
      </c>
      <c r="C380" t="s">
        <v>2</v>
      </c>
      <c r="D380" t="s">
        <v>3</v>
      </c>
      <c r="E380" t="s">
        <v>31</v>
      </c>
      <c r="F380" t="s">
        <v>29</v>
      </c>
      <c r="G380" s="2">
        <v>31</v>
      </c>
      <c r="H380" s="2">
        <v>958.92</v>
      </c>
      <c r="I380" s="2">
        <v>1240.22</v>
      </c>
      <c r="J380" s="2">
        <v>29726.52</v>
      </c>
      <c r="K380" s="2">
        <v>38446.82</v>
      </c>
      <c r="L380" s="2">
        <v>8720.2999999999993</v>
      </c>
    </row>
    <row r="381" spans="1:12" x14ac:dyDescent="0.3">
      <c r="A381" s="6">
        <f ca="1">Table1[[#This Row],[Date]]*1</f>
        <v>45393</v>
      </c>
      <c r="B381" t="s">
        <v>45</v>
      </c>
      <c r="C381" t="s">
        <v>2</v>
      </c>
      <c r="D381" t="s">
        <v>3</v>
      </c>
      <c r="E381" t="s">
        <v>33</v>
      </c>
      <c r="F381" t="s">
        <v>29</v>
      </c>
      <c r="G381" s="2">
        <v>19</v>
      </c>
      <c r="H381" s="2">
        <v>117.06</v>
      </c>
      <c r="I381" s="2">
        <v>132.44</v>
      </c>
      <c r="J381" s="2">
        <v>2224.14</v>
      </c>
      <c r="K381" s="2">
        <v>2516.36</v>
      </c>
      <c r="L381" s="2">
        <v>292.22000000000003</v>
      </c>
    </row>
    <row r="382" spans="1:12" x14ac:dyDescent="0.3">
      <c r="A382" s="6">
        <f ca="1">Table1[[#This Row],[Date]]*1</f>
        <v>45517</v>
      </c>
      <c r="B382" t="s">
        <v>28</v>
      </c>
      <c r="C382" t="s">
        <v>8</v>
      </c>
      <c r="D382" t="s">
        <v>9</v>
      </c>
      <c r="E382" t="s">
        <v>33</v>
      </c>
      <c r="F382" t="s">
        <v>32</v>
      </c>
      <c r="G382" s="2">
        <v>7</v>
      </c>
      <c r="H382" s="2">
        <v>693.07</v>
      </c>
      <c r="I382" s="2">
        <v>1000.41</v>
      </c>
      <c r="J382" s="2">
        <v>4851.49</v>
      </c>
      <c r="K382" s="2">
        <v>7002.87</v>
      </c>
      <c r="L382" s="2">
        <v>2151.38</v>
      </c>
    </row>
    <row r="383" spans="1:12" x14ac:dyDescent="0.3">
      <c r="A383" s="6">
        <f ca="1">Table1[[#This Row],[Date]]*1</f>
        <v>45639</v>
      </c>
      <c r="B383" t="s">
        <v>28</v>
      </c>
      <c r="C383" t="s">
        <v>8</v>
      </c>
      <c r="D383" t="s">
        <v>16</v>
      </c>
      <c r="E383" t="s">
        <v>35</v>
      </c>
      <c r="F383" t="s">
        <v>29</v>
      </c>
      <c r="G383" s="2">
        <v>42</v>
      </c>
      <c r="H383" s="2">
        <v>828.15</v>
      </c>
      <c r="I383" s="2">
        <v>965.96</v>
      </c>
      <c r="J383" s="2">
        <v>34782.300000000003</v>
      </c>
      <c r="K383" s="2">
        <v>40570.32</v>
      </c>
      <c r="L383" s="2">
        <v>5788.02</v>
      </c>
    </row>
    <row r="384" spans="1:12" x14ac:dyDescent="0.3">
      <c r="A384" s="6">
        <f ca="1">Table1[[#This Row],[Date]]*1</f>
        <v>45522</v>
      </c>
      <c r="B384" t="s">
        <v>45</v>
      </c>
      <c r="C384" t="s">
        <v>6</v>
      </c>
      <c r="D384" t="s">
        <v>10</v>
      </c>
      <c r="E384" t="s">
        <v>31</v>
      </c>
      <c r="F384" t="s">
        <v>29</v>
      </c>
      <c r="G384" s="2">
        <v>37</v>
      </c>
      <c r="H384" s="2">
        <v>280.83</v>
      </c>
      <c r="I384" s="2">
        <v>315.83</v>
      </c>
      <c r="J384" s="2">
        <v>10390.709999999999</v>
      </c>
      <c r="K384" s="2">
        <v>11685.71</v>
      </c>
      <c r="L384" s="2">
        <v>1295</v>
      </c>
    </row>
    <row r="385" spans="1:12" x14ac:dyDescent="0.3">
      <c r="A385" s="6">
        <f ca="1">Table1[[#This Row],[Date]]*1</f>
        <v>45586</v>
      </c>
      <c r="B385" t="s">
        <v>30</v>
      </c>
      <c r="C385" t="s">
        <v>8</v>
      </c>
      <c r="D385" t="s">
        <v>9</v>
      </c>
      <c r="E385" t="s">
        <v>35</v>
      </c>
      <c r="F385" t="s">
        <v>32</v>
      </c>
      <c r="G385" s="2">
        <v>40</v>
      </c>
      <c r="H385" s="2">
        <v>411.92</v>
      </c>
      <c r="I385" s="2">
        <v>560.91999999999996</v>
      </c>
      <c r="J385" s="2">
        <v>16476.8</v>
      </c>
      <c r="K385" s="2">
        <v>22436.799999999999</v>
      </c>
      <c r="L385" s="2">
        <v>5960</v>
      </c>
    </row>
    <row r="386" spans="1:12" x14ac:dyDescent="0.3">
      <c r="A386" s="6">
        <f ca="1">Table1[[#This Row],[Date]]*1</f>
        <v>45417</v>
      </c>
      <c r="B386" t="s">
        <v>44</v>
      </c>
      <c r="C386" t="s">
        <v>11</v>
      </c>
      <c r="D386" t="s">
        <v>13</v>
      </c>
      <c r="E386" t="s">
        <v>43</v>
      </c>
      <c r="F386" t="s">
        <v>29</v>
      </c>
      <c r="G386" s="2">
        <v>1</v>
      </c>
      <c r="H386" s="2">
        <v>620.66999999999996</v>
      </c>
      <c r="I386" s="2">
        <v>732.43</v>
      </c>
      <c r="J386" s="2">
        <v>620.66999999999996</v>
      </c>
      <c r="K386" s="2">
        <v>732.43</v>
      </c>
      <c r="L386" s="2">
        <v>111.76</v>
      </c>
    </row>
    <row r="387" spans="1:12" x14ac:dyDescent="0.3">
      <c r="A387" s="6">
        <f ca="1">Table1[[#This Row],[Date]]*1</f>
        <v>45597</v>
      </c>
      <c r="B387" t="s">
        <v>39</v>
      </c>
      <c r="C387" t="s">
        <v>2</v>
      </c>
      <c r="D387" t="s">
        <v>5</v>
      </c>
      <c r="E387" t="s">
        <v>33</v>
      </c>
      <c r="F387" t="s">
        <v>29</v>
      </c>
      <c r="G387" s="2">
        <v>25</v>
      </c>
      <c r="H387" s="2">
        <v>292.77999999999997</v>
      </c>
      <c r="I387" s="2">
        <v>322.93</v>
      </c>
      <c r="J387" s="2">
        <v>7319.5</v>
      </c>
      <c r="K387" s="2">
        <v>8073.25</v>
      </c>
      <c r="L387" s="2">
        <v>753.75</v>
      </c>
    </row>
    <row r="388" spans="1:12" x14ac:dyDescent="0.3">
      <c r="A388" s="6">
        <f ca="1">Table1[[#This Row],[Date]]*1</f>
        <v>45322</v>
      </c>
      <c r="B388" t="s">
        <v>45</v>
      </c>
      <c r="C388" t="s">
        <v>8</v>
      </c>
      <c r="D388" t="s">
        <v>16</v>
      </c>
      <c r="E388" t="s">
        <v>40</v>
      </c>
      <c r="F388" t="s">
        <v>32</v>
      </c>
      <c r="G388" s="2">
        <v>29</v>
      </c>
      <c r="H388" s="2">
        <v>672.48</v>
      </c>
      <c r="I388" s="2">
        <v>836.01</v>
      </c>
      <c r="J388" s="2">
        <v>19501.919999999998</v>
      </c>
      <c r="K388" s="2">
        <v>24244.29</v>
      </c>
      <c r="L388" s="2">
        <v>4742.37</v>
      </c>
    </row>
    <row r="389" spans="1:12" x14ac:dyDescent="0.3">
      <c r="A389" s="6">
        <f ca="1">Table1[[#This Row],[Date]]*1</f>
        <v>45634</v>
      </c>
      <c r="B389" t="s">
        <v>38</v>
      </c>
      <c r="C389" t="s">
        <v>2</v>
      </c>
      <c r="D389" t="s">
        <v>14</v>
      </c>
      <c r="E389" t="s">
        <v>35</v>
      </c>
      <c r="F389" t="s">
        <v>32</v>
      </c>
      <c r="G389" s="2">
        <v>30</v>
      </c>
      <c r="H389" s="2">
        <v>979.91</v>
      </c>
      <c r="I389" s="2">
        <v>1443.45</v>
      </c>
      <c r="J389" s="2">
        <v>29397.3</v>
      </c>
      <c r="K389" s="2">
        <v>43303.5</v>
      </c>
      <c r="L389" s="2">
        <v>13906.2</v>
      </c>
    </row>
    <row r="390" spans="1:12" x14ac:dyDescent="0.3">
      <c r="A390" s="6">
        <f ca="1">Table1[[#This Row],[Date]]*1</f>
        <v>45572</v>
      </c>
      <c r="B390" t="s">
        <v>38</v>
      </c>
      <c r="C390" t="s">
        <v>6</v>
      </c>
      <c r="D390" t="s">
        <v>7</v>
      </c>
      <c r="E390" t="s">
        <v>40</v>
      </c>
      <c r="F390" t="s">
        <v>29</v>
      </c>
      <c r="G390" s="2">
        <v>18</v>
      </c>
      <c r="H390" s="2">
        <v>153.62</v>
      </c>
      <c r="I390" s="2">
        <v>212.06</v>
      </c>
      <c r="J390" s="2">
        <v>2765.16</v>
      </c>
      <c r="K390" s="2">
        <v>3817.08</v>
      </c>
      <c r="L390" s="2">
        <v>1051.92</v>
      </c>
    </row>
    <row r="391" spans="1:12" x14ac:dyDescent="0.3">
      <c r="A391" s="6">
        <f ca="1">Table1[[#This Row],[Date]]*1</f>
        <v>45551</v>
      </c>
      <c r="B391" t="s">
        <v>38</v>
      </c>
      <c r="C391" t="s">
        <v>2</v>
      </c>
      <c r="D391" t="s">
        <v>14</v>
      </c>
      <c r="E391" t="s">
        <v>35</v>
      </c>
      <c r="F391" t="s">
        <v>32</v>
      </c>
      <c r="G391" s="2">
        <v>18</v>
      </c>
      <c r="H391" s="2">
        <v>845.76</v>
      </c>
      <c r="I391" s="2">
        <v>937.17</v>
      </c>
      <c r="J391" s="2">
        <v>15223.68</v>
      </c>
      <c r="K391" s="2">
        <v>16869.060000000001</v>
      </c>
      <c r="L391" s="2">
        <v>1645.38</v>
      </c>
    </row>
    <row r="392" spans="1:12" x14ac:dyDescent="0.3">
      <c r="A392" s="6">
        <f ca="1">Table1[[#This Row],[Date]]*1</f>
        <v>45326</v>
      </c>
      <c r="B392" t="s">
        <v>36</v>
      </c>
      <c r="C392" t="s">
        <v>8</v>
      </c>
      <c r="D392" t="s">
        <v>16</v>
      </c>
      <c r="E392" t="s">
        <v>4</v>
      </c>
      <c r="F392" t="s">
        <v>32</v>
      </c>
      <c r="G392" s="2">
        <v>45</v>
      </c>
      <c r="H392" s="2">
        <v>390.32</v>
      </c>
      <c r="I392" s="2">
        <v>506.48</v>
      </c>
      <c r="J392" s="2">
        <v>17564.400000000001</v>
      </c>
      <c r="K392" s="2">
        <v>22791.599999999999</v>
      </c>
      <c r="L392" s="2">
        <v>5227.2</v>
      </c>
    </row>
    <row r="393" spans="1:12" x14ac:dyDescent="0.3">
      <c r="A393" s="6">
        <f ca="1">Table1[[#This Row],[Date]]*1</f>
        <v>45599</v>
      </c>
      <c r="B393" t="s">
        <v>45</v>
      </c>
      <c r="C393" t="s">
        <v>6</v>
      </c>
      <c r="D393" t="s">
        <v>17</v>
      </c>
      <c r="E393" t="s">
        <v>40</v>
      </c>
      <c r="F393" t="s">
        <v>32</v>
      </c>
      <c r="G393" s="2">
        <v>38</v>
      </c>
      <c r="H393" s="2">
        <v>312.58999999999997</v>
      </c>
      <c r="I393" s="2">
        <v>370.25</v>
      </c>
      <c r="J393" s="2">
        <v>11878.42</v>
      </c>
      <c r="K393" s="2">
        <v>14069.5</v>
      </c>
      <c r="L393" s="2">
        <v>2191.08</v>
      </c>
    </row>
    <row r="394" spans="1:12" x14ac:dyDescent="0.3">
      <c r="A394" s="6">
        <f ca="1">Table1[[#This Row],[Date]]*1</f>
        <v>45432</v>
      </c>
      <c r="B394" t="s">
        <v>34</v>
      </c>
      <c r="C394" t="s">
        <v>2</v>
      </c>
      <c r="D394" t="s">
        <v>5</v>
      </c>
      <c r="E394" t="s">
        <v>33</v>
      </c>
      <c r="F394" t="s">
        <v>32</v>
      </c>
      <c r="G394" s="2">
        <v>31</v>
      </c>
      <c r="H394" s="2">
        <v>510.74</v>
      </c>
      <c r="I394" s="2">
        <v>678.45</v>
      </c>
      <c r="J394" s="2">
        <v>15832.94</v>
      </c>
      <c r="K394" s="2">
        <v>21031.95</v>
      </c>
      <c r="L394" s="2">
        <v>5199.01</v>
      </c>
    </row>
    <row r="395" spans="1:12" x14ac:dyDescent="0.3">
      <c r="A395" s="6">
        <f ca="1">Table1[[#This Row],[Date]]*1</f>
        <v>45492</v>
      </c>
      <c r="B395" t="s">
        <v>41</v>
      </c>
      <c r="C395" t="s">
        <v>11</v>
      </c>
      <c r="D395" t="s">
        <v>12</v>
      </c>
      <c r="E395" t="s">
        <v>31</v>
      </c>
      <c r="F395" t="s">
        <v>32</v>
      </c>
      <c r="G395" s="2">
        <v>16</v>
      </c>
      <c r="H395" s="2">
        <v>512.73</v>
      </c>
      <c r="I395" s="2">
        <v>566.41</v>
      </c>
      <c r="J395" s="2">
        <v>8203.68</v>
      </c>
      <c r="K395" s="2">
        <v>9062.56</v>
      </c>
      <c r="L395" s="2">
        <v>858.88</v>
      </c>
    </row>
    <row r="396" spans="1:12" x14ac:dyDescent="0.3">
      <c r="A396" s="6">
        <f ca="1">Table1[[#This Row],[Date]]*1</f>
        <v>45531</v>
      </c>
      <c r="B396" t="s">
        <v>44</v>
      </c>
      <c r="C396" t="s">
        <v>8</v>
      </c>
      <c r="D396" t="s">
        <v>42</v>
      </c>
      <c r="E396" t="s">
        <v>4</v>
      </c>
      <c r="F396" t="s">
        <v>29</v>
      </c>
      <c r="G396" s="2">
        <v>26</v>
      </c>
      <c r="H396" s="2">
        <v>722.87</v>
      </c>
      <c r="I396" s="2">
        <v>1005.95</v>
      </c>
      <c r="J396" s="2">
        <v>18794.62</v>
      </c>
      <c r="K396" s="2">
        <v>26154.7</v>
      </c>
      <c r="L396" s="2">
        <v>7360.08</v>
      </c>
    </row>
    <row r="397" spans="1:12" x14ac:dyDescent="0.3">
      <c r="A397" s="6">
        <f ca="1">Table1[[#This Row],[Date]]*1</f>
        <v>45436</v>
      </c>
      <c r="B397" t="s">
        <v>45</v>
      </c>
      <c r="C397" t="s">
        <v>8</v>
      </c>
      <c r="D397" t="s">
        <v>42</v>
      </c>
      <c r="E397" t="s">
        <v>31</v>
      </c>
      <c r="F397" t="s">
        <v>32</v>
      </c>
      <c r="G397" s="2">
        <v>29</v>
      </c>
      <c r="H397" s="2">
        <v>654.51</v>
      </c>
      <c r="I397" s="2">
        <v>762.59</v>
      </c>
      <c r="J397" s="2">
        <v>18980.79</v>
      </c>
      <c r="K397" s="2">
        <v>22115.11</v>
      </c>
      <c r="L397" s="2">
        <v>3134.32</v>
      </c>
    </row>
    <row r="398" spans="1:12" x14ac:dyDescent="0.3">
      <c r="A398" s="6">
        <f ca="1">Table1[[#This Row],[Date]]*1</f>
        <v>45413</v>
      </c>
      <c r="B398" t="s">
        <v>36</v>
      </c>
      <c r="C398" t="s">
        <v>11</v>
      </c>
      <c r="D398" t="s">
        <v>12</v>
      </c>
      <c r="E398" t="s">
        <v>4</v>
      </c>
      <c r="F398" t="s">
        <v>29</v>
      </c>
      <c r="G398" s="2">
        <v>31</v>
      </c>
      <c r="H398" s="2">
        <v>296.36</v>
      </c>
      <c r="I398" s="2">
        <v>420.09</v>
      </c>
      <c r="J398" s="2">
        <v>9187.16</v>
      </c>
      <c r="K398" s="2">
        <v>13022.79</v>
      </c>
      <c r="L398" s="2">
        <v>3835.63</v>
      </c>
    </row>
    <row r="399" spans="1:12" x14ac:dyDescent="0.3">
      <c r="A399" s="6">
        <f ca="1">Table1[[#This Row],[Date]]*1</f>
        <v>45580</v>
      </c>
      <c r="B399" t="s">
        <v>30</v>
      </c>
      <c r="C399" t="s">
        <v>8</v>
      </c>
      <c r="D399" t="s">
        <v>9</v>
      </c>
      <c r="E399" t="s">
        <v>33</v>
      </c>
      <c r="F399" t="s">
        <v>32</v>
      </c>
      <c r="G399" s="2">
        <v>50</v>
      </c>
      <c r="H399" s="2">
        <v>522.39</v>
      </c>
      <c r="I399" s="2">
        <v>713.06</v>
      </c>
      <c r="J399" s="2">
        <v>26119.5</v>
      </c>
      <c r="K399" s="2">
        <v>35653</v>
      </c>
      <c r="L399" s="2">
        <v>9533.5</v>
      </c>
    </row>
    <row r="400" spans="1:12" x14ac:dyDescent="0.3">
      <c r="A400" s="6">
        <f ca="1">Table1[[#This Row],[Date]]*1</f>
        <v>45533</v>
      </c>
      <c r="B400" t="s">
        <v>44</v>
      </c>
      <c r="C400" t="s">
        <v>2</v>
      </c>
      <c r="D400" t="s">
        <v>5</v>
      </c>
      <c r="E400" t="s">
        <v>33</v>
      </c>
      <c r="F400" t="s">
        <v>29</v>
      </c>
      <c r="G400" s="2">
        <v>31</v>
      </c>
      <c r="H400" s="2">
        <v>451.2</v>
      </c>
      <c r="I400" s="2">
        <v>518.97</v>
      </c>
      <c r="J400" s="2">
        <v>13987.2</v>
      </c>
      <c r="K400" s="2">
        <v>16088.07</v>
      </c>
      <c r="L400" s="2">
        <v>2100.87</v>
      </c>
    </row>
    <row r="401" spans="1:12" x14ac:dyDescent="0.3">
      <c r="A401" s="6">
        <f ca="1">Table1[[#This Row],[Date]]*1</f>
        <v>45320</v>
      </c>
      <c r="B401" t="s">
        <v>30</v>
      </c>
      <c r="C401" t="s">
        <v>11</v>
      </c>
      <c r="D401" t="s">
        <v>13</v>
      </c>
      <c r="E401" t="s">
        <v>4</v>
      </c>
      <c r="F401" t="s">
        <v>32</v>
      </c>
      <c r="G401" s="2">
        <v>2</v>
      </c>
      <c r="H401" s="2">
        <v>835.33</v>
      </c>
      <c r="I401" s="2">
        <v>1018.9</v>
      </c>
      <c r="J401" s="2">
        <v>1670.66</v>
      </c>
      <c r="K401" s="2">
        <v>2037.8</v>
      </c>
      <c r="L401" s="2">
        <v>367.14</v>
      </c>
    </row>
    <row r="402" spans="1:12" x14ac:dyDescent="0.3">
      <c r="A402" s="6">
        <f ca="1">Table1[[#This Row],[Date]]*1</f>
        <v>45620</v>
      </c>
      <c r="B402" t="s">
        <v>38</v>
      </c>
      <c r="C402" t="s">
        <v>8</v>
      </c>
      <c r="D402" t="s">
        <v>9</v>
      </c>
      <c r="E402" t="s">
        <v>43</v>
      </c>
      <c r="F402" t="s">
        <v>32</v>
      </c>
      <c r="G402" s="2">
        <v>49</v>
      </c>
      <c r="H402" s="2">
        <v>378.43</v>
      </c>
      <c r="I402" s="2">
        <v>524.16999999999996</v>
      </c>
      <c r="J402" s="2">
        <v>18543.07</v>
      </c>
      <c r="K402" s="2">
        <v>25684.33</v>
      </c>
      <c r="L402" s="2">
        <v>7141.26</v>
      </c>
    </row>
    <row r="403" spans="1:12" x14ac:dyDescent="0.3">
      <c r="A403" s="6">
        <f ca="1">Table1[[#This Row],[Date]]*1</f>
        <v>45506</v>
      </c>
      <c r="B403" t="s">
        <v>38</v>
      </c>
      <c r="C403" t="s">
        <v>6</v>
      </c>
      <c r="D403" t="s">
        <v>10</v>
      </c>
      <c r="E403" t="s">
        <v>35</v>
      </c>
      <c r="F403" t="s">
        <v>32</v>
      </c>
      <c r="G403" s="2">
        <v>23</v>
      </c>
      <c r="H403" s="2">
        <v>393.84</v>
      </c>
      <c r="I403" s="2">
        <v>544.77</v>
      </c>
      <c r="J403" s="2">
        <v>9058.32</v>
      </c>
      <c r="K403" s="2">
        <v>12529.71</v>
      </c>
      <c r="L403" s="2">
        <v>3471.39</v>
      </c>
    </row>
    <row r="404" spans="1:12" x14ac:dyDescent="0.3">
      <c r="A404" s="6">
        <f ca="1">Table1[[#This Row],[Date]]*1</f>
        <v>45518</v>
      </c>
      <c r="B404" t="s">
        <v>38</v>
      </c>
      <c r="C404" t="s">
        <v>2</v>
      </c>
      <c r="D404" t="s">
        <v>14</v>
      </c>
      <c r="E404" t="s">
        <v>35</v>
      </c>
      <c r="F404" t="s">
        <v>29</v>
      </c>
      <c r="G404" s="2">
        <v>41</v>
      </c>
      <c r="H404" s="2">
        <v>402.97</v>
      </c>
      <c r="I404" s="2">
        <v>546.20000000000005</v>
      </c>
      <c r="J404" s="2">
        <v>16521.77</v>
      </c>
      <c r="K404" s="2">
        <v>22394.2</v>
      </c>
      <c r="L404" s="2">
        <v>5872.43</v>
      </c>
    </row>
    <row r="405" spans="1:12" x14ac:dyDescent="0.3">
      <c r="A405" s="6">
        <f ca="1">Table1[[#This Row],[Date]]*1</f>
        <v>45465</v>
      </c>
      <c r="B405" t="s">
        <v>45</v>
      </c>
      <c r="C405" t="s">
        <v>11</v>
      </c>
      <c r="D405" t="s">
        <v>13</v>
      </c>
      <c r="E405" t="s">
        <v>4</v>
      </c>
      <c r="F405" t="s">
        <v>29</v>
      </c>
      <c r="G405" s="2">
        <v>31</v>
      </c>
      <c r="H405" s="2">
        <v>342.28</v>
      </c>
      <c r="I405" s="2">
        <v>436.39</v>
      </c>
      <c r="J405" s="2">
        <v>10610.68</v>
      </c>
      <c r="K405" s="2">
        <v>13528.09</v>
      </c>
      <c r="L405" s="2">
        <v>2917.41</v>
      </c>
    </row>
    <row r="406" spans="1:12" x14ac:dyDescent="0.3">
      <c r="A406" s="6">
        <f ca="1">Table1[[#This Row],[Date]]*1</f>
        <v>45636</v>
      </c>
      <c r="B406" t="s">
        <v>41</v>
      </c>
      <c r="C406" t="s">
        <v>11</v>
      </c>
      <c r="D406" t="s">
        <v>13</v>
      </c>
      <c r="E406" t="s">
        <v>4</v>
      </c>
      <c r="F406" t="s">
        <v>32</v>
      </c>
      <c r="G406" s="2">
        <v>39</v>
      </c>
      <c r="H406" s="2">
        <v>888.54</v>
      </c>
      <c r="I406" s="2">
        <v>1028.6500000000001</v>
      </c>
      <c r="J406" s="2">
        <v>34653.06</v>
      </c>
      <c r="K406" s="2">
        <v>40117.35</v>
      </c>
      <c r="L406" s="2">
        <v>5464.29</v>
      </c>
    </row>
    <row r="407" spans="1:12" x14ac:dyDescent="0.3">
      <c r="A407" s="6">
        <f ca="1">Table1[[#This Row],[Date]]*1</f>
        <v>45623</v>
      </c>
      <c r="B407" t="s">
        <v>39</v>
      </c>
      <c r="C407" t="s">
        <v>2</v>
      </c>
      <c r="D407" t="s">
        <v>5</v>
      </c>
      <c r="E407" t="s">
        <v>31</v>
      </c>
      <c r="F407" t="s">
        <v>29</v>
      </c>
      <c r="G407" s="2">
        <v>26</v>
      </c>
      <c r="H407" s="2">
        <v>662.34</v>
      </c>
      <c r="I407" s="2">
        <v>780.11</v>
      </c>
      <c r="J407" s="2">
        <v>17220.84</v>
      </c>
      <c r="K407" s="2">
        <v>20282.86</v>
      </c>
      <c r="L407" s="2">
        <v>3062.02</v>
      </c>
    </row>
    <row r="408" spans="1:12" x14ac:dyDescent="0.3">
      <c r="A408" s="6">
        <f ca="1">Table1[[#This Row],[Date]]*1</f>
        <v>45573</v>
      </c>
      <c r="B408" t="s">
        <v>37</v>
      </c>
      <c r="C408" t="s">
        <v>2</v>
      </c>
      <c r="D408" t="s">
        <v>14</v>
      </c>
      <c r="E408" t="s">
        <v>31</v>
      </c>
      <c r="F408" t="s">
        <v>32</v>
      </c>
      <c r="G408" s="2">
        <v>19</v>
      </c>
      <c r="H408" s="2">
        <v>935.8</v>
      </c>
      <c r="I408" s="2">
        <v>1235.49</v>
      </c>
      <c r="J408" s="2">
        <v>17780.2</v>
      </c>
      <c r="K408" s="2">
        <v>23474.31</v>
      </c>
      <c r="L408" s="2">
        <v>5694.11</v>
      </c>
    </row>
    <row r="409" spans="1:12" x14ac:dyDescent="0.3">
      <c r="A409" s="6">
        <f ca="1">Table1[[#This Row],[Date]]*1</f>
        <v>45485</v>
      </c>
      <c r="B409" t="s">
        <v>30</v>
      </c>
      <c r="C409" t="s">
        <v>2</v>
      </c>
      <c r="D409" t="s">
        <v>3</v>
      </c>
      <c r="E409" t="s">
        <v>35</v>
      </c>
      <c r="F409" t="s">
        <v>29</v>
      </c>
      <c r="G409" s="2">
        <v>32</v>
      </c>
      <c r="H409" s="2">
        <v>703.14</v>
      </c>
      <c r="I409" s="2">
        <v>1005.22</v>
      </c>
      <c r="J409" s="2">
        <v>22500.48</v>
      </c>
      <c r="K409" s="2">
        <v>32167.040000000001</v>
      </c>
      <c r="L409" s="2">
        <v>9666.56</v>
      </c>
    </row>
    <row r="410" spans="1:12" x14ac:dyDescent="0.3">
      <c r="A410" s="6">
        <f ca="1">Table1[[#This Row],[Date]]*1</f>
        <v>45332</v>
      </c>
      <c r="B410" t="s">
        <v>39</v>
      </c>
      <c r="C410" t="s">
        <v>11</v>
      </c>
      <c r="D410" t="s">
        <v>15</v>
      </c>
      <c r="E410" t="s">
        <v>35</v>
      </c>
      <c r="F410" t="s">
        <v>32</v>
      </c>
      <c r="G410" s="2">
        <v>21</v>
      </c>
      <c r="H410" s="2">
        <v>556.51</v>
      </c>
      <c r="I410" s="2">
        <v>616.91</v>
      </c>
      <c r="J410" s="2">
        <v>11686.71</v>
      </c>
      <c r="K410" s="2">
        <v>12955.11</v>
      </c>
      <c r="L410" s="2">
        <v>1268.4000000000001</v>
      </c>
    </row>
    <row r="411" spans="1:12" x14ac:dyDescent="0.3">
      <c r="A411" s="6">
        <f ca="1">Table1[[#This Row],[Date]]*1</f>
        <v>45505</v>
      </c>
      <c r="B411" t="s">
        <v>30</v>
      </c>
      <c r="C411" t="s">
        <v>11</v>
      </c>
      <c r="D411" t="s">
        <v>15</v>
      </c>
      <c r="E411" t="s">
        <v>4</v>
      </c>
      <c r="F411" t="s">
        <v>29</v>
      </c>
      <c r="G411" s="2">
        <v>48</v>
      </c>
      <c r="H411" s="2">
        <v>490.26</v>
      </c>
      <c r="I411" s="2">
        <v>663.01</v>
      </c>
      <c r="J411" s="2">
        <v>23532.48</v>
      </c>
      <c r="K411" s="2">
        <v>31824.48</v>
      </c>
      <c r="L411" s="2">
        <v>8292</v>
      </c>
    </row>
    <row r="412" spans="1:12" x14ac:dyDescent="0.3">
      <c r="A412" s="6">
        <f ca="1">Table1[[#This Row],[Date]]*1</f>
        <v>45372</v>
      </c>
      <c r="B412" t="s">
        <v>44</v>
      </c>
      <c r="C412" t="s">
        <v>8</v>
      </c>
      <c r="D412" t="s">
        <v>16</v>
      </c>
      <c r="E412" t="s">
        <v>35</v>
      </c>
      <c r="F412" t="s">
        <v>29</v>
      </c>
      <c r="G412" s="2">
        <v>17</v>
      </c>
      <c r="H412" s="2">
        <v>560.97</v>
      </c>
      <c r="I412" s="2">
        <v>801.13</v>
      </c>
      <c r="J412" s="2">
        <v>9536.49</v>
      </c>
      <c r="K412" s="2">
        <v>13619.21</v>
      </c>
      <c r="L412" s="2">
        <v>4082.72</v>
      </c>
    </row>
    <row r="413" spans="1:12" x14ac:dyDescent="0.3">
      <c r="A413" s="6">
        <f ca="1">Table1[[#This Row],[Date]]*1</f>
        <v>45559</v>
      </c>
      <c r="B413" t="s">
        <v>41</v>
      </c>
      <c r="C413" t="s">
        <v>11</v>
      </c>
      <c r="D413" t="s">
        <v>15</v>
      </c>
      <c r="E413" t="s">
        <v>40</v>
      </c>
      <c r="F413" t="s">
        <v>32</v>
      </c>
      <c r="G413" s="2">
        <v>34</v>
      </c>
      <c r="H413" s="2">
        <v>687.04</v>
      </c>
      <c r="I413" s="2">
        <v>756.28</v>
      </c>
      <c r="J413" s="2">
        <v>23359.360000000001</v>
      </c>
      <c r="K413" s="2">
        <v>25713.52</v>
      </c>
      <c r="L413" s="2">
        <v>2354.16</v>
      </c>
    </row>
    <row r="414" spans="1:12" x14ac:dyDescent="0.3">
      <c r="A414" s="6">
        <f ca="1">Table1[[#This Row],[Date]]*1</f>
        <v>45503</v>
      </c>
      <c r="B414" t="s">
        <v>44</v>
      </c>
      <c r="C414" t="s">
        <v>6</v>
      </c>
      <c r="D414" t="s">
        <v>7</v>
      </c>
      <c r="E414" t="s">
        <v>31</v>
      </c>
      <c r="F414" t="s">
        <v>32</v>
      </c>
      <c r="G414" s="2">
        <v>2</v>
      </c>
      <c r="H414" s="2">
        <v>232.11</v>
      </c>
      <c r="I414" s="2">
        <v>258.67</v>
      </c>
      <c r="J414" s="2">
        <v>464.22</v>
      </c>
      <c r="K414" s="2">
        <v>517.34</v>
      </c>
      <c r="L414" s="2">
        <v>53.12</v>
      </c>
    </row>
    <row r="415" spans="1:12" x14ac:dyDescent="0.3">
      <c r="A415" s="6">
        <f ca="1">Table1[[#This Row],[Date]]*1</f>
        <v>45593</v>
      </c>
      <c r="B415" t="s">
        <v>39</v>
      </c>
      <c r="C415" t="s">
        <v>11</v>
      </c>
      <c r="D415" t="s">
        <v>12</v>
      </c>
      <c r="E415" t="s">
        <v>35</v>
      </c>
      <c r="F415" t="s">
        <v>29</v>
      </c>
      <c r="G415" s="2">
        <v>18</v>
      </c>
      <c r="H415" s="2">
        <v>203.58</v>
      </c>
      <c r="I415" s="2">
        <v>248.06</v>
      </c>
      <c r="J415" s="2">
        <v>3664.44</v>
      </c>
      <c r="K415" s="2">
        <v>4465.08</v>
      </c>
      <c r="L415" s="2">
        <v>800.64</v>
      </c>
    </row>
    <row r="416" spans="1:12" x14ac:dyDescent="0.3">
      <c r="A416" s="6">
        <f ca="1">Table1[[#This Row],[Date]]*1</f>
        <v>45327</v>
      </c>
      <c r="B416" t="s">
        <v>45</v>
      </c>
      <c r="C416" t="s">
        <v>2</v>
      </c>
      <c r="D416" t="s">
        <v>14</v>
      </c>
      <c r="E416" t="s">
        <v>35</v>
      </c>
      <c r="F416" t="s">
        <v>32</v>
      </c>
      <c r="G416" s="2">
        <v>48</v>
      </c>
      <c r="H416" s="2">
        <v>146.51</v>
      </c>
      <c r="I416" s="2">
        <v>172.41</v>
      </c>
      <c r="J416" s="2">
        <v>7032.48</v>
      </c>
      <c r="K416" s="2">
        <v>8275.68</v>
      </c>
      <c r="L416" s="2">
        <v>1243.2</v>
      </c>
    </row>
    <row r="417" spans="1:12" x14ac:dyDescent="0.3">
      <c r="A417" s="6">
        <f ca="1">Table1[[#This Row],[Date]]*1</f>
        <v>45325</v>
      </c>
      <c r="B417" t="s">
        <v>44</v>
      </c>
      <c r="C417" t="s">
        <v>6</v>
      </c>
      <c r="D417" t="s">
        <v>17</v>
      </c>
      <c r="E417" t="s">
        <v>40</v>
      </c>
      <c r="F417" t="s">
        <v>32</v>
      </c>
      <c r="G417" s="2">
        <v>34</v>
      </c>
      <c r="H417" s="2">
        <v>730.33</v>
      </c>
      <c r="I417" s="2">
        <v>1054.24</v>
      </c>
      <c r="J417" s="2">
        <v>24831.22</v>
      </c>
      <c r="K417" s="2">
        <v>35844.160000000003</v>
      </c>
      <c r="L417" s="2">
        <v>11012.94</v>
      </c>
    </row>
    <row r="418" spans="1:12" x14ac:dyDescent="0.3">
      <c r="A418" s="6">
        <f ca="1">Table1[[#This Row],[Date]]*1</f>
        <v>45598</v>
      </c>
      <c r="B418" t="s">
        <v>41</v>
      </c>
      <c r="C418" t="s">
        <v>6</v>
      </c>
      <c r="D418" t="s">
        <v>10</v>
      </c>
      <c r="E418" t="s">
        <v>35</v>
      </c>
      <c r="F418" t="s">
        <v>32</v>
      </c>
      <c r="G418" s="2">
        <v>18</v>
      </c>
      <c r="H418" s="2">
        <v>938.11</v>
      </c>
      <c r="I418" s="2">
        <v>1372.77</v>
      </c>
      <c r="J418" s="2">
        <v>16885.98</v>
      </c>
      <c r="K418" s="2">
        <v>24709.86</v>
      </c>
      <c r="L418" s="2">
        <v>7823.88</v>
      </c>
    </row>
    <row r="419" spans="1:12" x14ac:dyDescent="0.3">
      <c r="A419" s="6">
        <f ca="1">Table1[[#This Row],[Date]]*1</f>
        <v>45462</v>
      </c>
      <c r="B419" t="s">
        <v>41</v>
      </c>
      <c r="C419" t="s">
        <v>2</v>
      </c>
      <c r="D419" t="s">
        <v>5</v>
      </c>
      <c r="E419" t="s">
        <v>4</v>
      </c>
      <c r="F419" t="s">
        <v>32</v>
      </c>
      <c r="G419" s="2">
        <v>42</v>
      </c>
      <c r="H419" s="2">
        <v>594.94000000000005</v>
      </c>
      <c r="I419" s="2">
        <v>841.14</v>
      </c>
      <c r="J419" s="2">
        <v>24987.48</v>
      </c>
      <c r="K419" s="2">
        <v>35327.879999999997</v>
      </c>
      <c r="L419" s="2">
        <v>10340.4</v>
      </c>
    </row>
    <row r="420" spans="1:12" x14ac:dyDescent="0.3">
      <c r="A420" s="6">
        <f ca="1">Table1[[#This Row],[Date]]*1</f>
        <v>45558</v>
      </c>
      <c r="B420" t="s">
        <v>34</v>
      </c>
      <c r="C420" t="s">
        <v>11</v>
      </c>
      <c r="D420" t="s">
        <v>13</v>
      </c>
      <c r="E420" t="s">
        <v>35</v>
      </c>
      <c r="F420" t="s">
        <v>29</v>
      </c>
      <c r="G420" s="2">
        <v>20</v>
      </c>
      <c r="H420" s="2">
        <v>447.08</v>
      </c>
      <c r="I420" s="2">
        <v>571.80999999999995</v>
      </c>
      <c r="J420" s="2">
        <v>8941.6</v>
      </c>
      <c r="K420" s="2">
        <v>11436.2</v>
      </c>
      <c r="L420" s="2">
        <v>2494.6</v>
      </c>
    </row>
    <row r="421" spans="1:12" x14ac:dyDescent="0.3">
      <c r="A421" s="6">
        <f ca="1">Table1[[#This Row],[Date]]*1</f>
        <v>45318</v>
      </c>
      <c r="B421" t="s">
        <v>30</v>
      </c>
      <c r="C421" t="s">
        <v>11</v>
      </c>
      <c r="D421" t="s">
        <v>13</v>
      </c>
      <c r="E421" t="s">
        <v>4</v>
      </c>
      <c r="F421" t="s">
        <v>29</v>
      </c>
      <c r="G421" s="2">
        <v>16</v>
      </c>
      <c r="H421" s="2">
        <v>330.54</v>
      </c>
      <c r="I421" s="2">
        <v>480.8</v>
      </c>
      <c r="J421" s="2">
        <v>5288.64</v>
      </c>
      <c r="K421" s="2">
        <v>7692.8</v>
      </c>
      <c r="L421" s="2">
        <v>2404.16</v>
      </c>
    </row>
    <row r="422" spans="1:12" x14ac:dyDescent="0.3">
      <c r="A422" s="6">
        <f ca="1">Table1[[#This Row],[Date]]*1</f>
        <v>45579</v>
      </c>
      <c r="B422" t="s">
        <v>36</v>
      </c>
      <c r="C422" t="s">
        <v>11</v>
      </c>
      <c r="D422" t="s">
        <v>13</v>
      </c>
      <c r="E422" t="s">
        <v>4</v>
      </c>
      <c r="F422" t="s">
        <v>32</v>
      </c>
      <c r="G422" s="2">
        <v>32</v>
      </c>
      <c r="H422" s="2">
        <v>117.85</v>
      </c>
      <c r="I422" s="2">
        <v>130.31</v>
      </c>
      <c r="J422" s="2">
        <v>3771.2</v>
      </c>
      <c r="K422" s="2">
        <v>4169.92</v>
      </c>
      <c r="L422" s="2">
        <v>398.72</v>
      </c>
    </row>
    <row r="423" spans="1:12" x14ac:dyDescent="0.3">
      <c r="A423" s="6">
        <f ca="1">Table1[[#This Row],[Date]]*1</f>
        <v>45321</v>
      </c>
      <c r="B423" t="s">
        <v>37</v>
      </c>
      <c r="C423" t="s">
        <v>11</v>
      </c>
      <c r="D423" t="s">
        <v>12</v>
      </c>
      <c r="E423" t="s">
        <v>43</v>
      </c>
      <c r="F423" t="s">
        <v>32</v>
      </c>
      <c r="G423" s="2">
        <v>47</v>
      </c>
      <c r="H423" s="2">
        <v>921.75</v>
      </c>
      <c r="I423" s="2">
        <v>1200.92</v>
      </c>
      <c r="J423" s="2">
        <v>43322.25</v>
      </c>
      <c r="K423" s="2">
        <v>56443.24</v>
      </c>
      <c r="L423" s="2">
        <v>13120.99</v>
      </c>
    </row>
    <row r="424" spans="1:12" x14ac:dyDescent="0.3">
      <c r="A424" s="6">
        <f ca="1">Table1[[#This Row],[Date]]*1</f>
        <v>45405</v>
      </c>
      <c r="B424" t="s">
        <v>45</v>
      </c>
      <c r="C424" t="s">
        <v>8</v>
      </c>
      <c r="D424" t="s">
        <v>42</v>
      </c>
      <c r="E424" t="s">
        <v>4</v>
      </c>
      <c r="F424" t="s">
        <v>32</v>
      </c>
      <c r="G424" s="2">
        <v>12</v>
      </c>
      <c r="H424" s="2">
        <v>443.97</v>
      </c>
      <c r="I424" s="2">
        <v>567.5</v>
      </c>
      <c r="J424" s="2">
        <v>5327.64</v>
      </c>
      <c r="K424" s="2">
        <v>6810</v>
      </c>
      <c r="L424" s="2">
        <v>1482.36</v>
      </c>
    </row>
    <row r="425" spans="1:12" x14ac:dyDescent="0.3">
      <c r="A425" s="6">
        <f ca="1">Table1[[#This Row],[Date]]*1</f>
        <v>45297</v>
      </c>
      <c r="B425" t="s">
        <v>37</v>
      </c>
      <c r="C425" t="s">
        <v>2</v>
      </c>
      <c r="D425" t="s">
        <v>14</v>
      </c>
      <c r="E425" t="s">
        <v>4</v>
      </c>
      <c r="F425" t="s">
        <v>29</v>
      </c>
      <c r="G425" s="2">
        <v>15</v>
      </c>
      <c r="H425" s="2">
        <v>344.6</v>
      </c>
      <c r="I425" s="2">
        <v>411.63</v>
      </c>
      <c r="J425" s="2">
        <v>5169</v>
      </c>
      <c r="K425" s="2">
        <v>6174.45</v>
      </c>
      <c r="L425" s="2">
        <v>1005.45</v>
      </c>
    </row>
    <row r="426" spans="1:12" x14ac:dyDescent="0.3">
      <c r="A426" s="6">
        <f ca="1">Table1[[#This Row],[Date]]*1</f>
        <v>45610</v>
      </c>
      <c r="B426" t="s">
        <v>41</v>
      </c>
      <c r="C426" t="s">
        <v>11</v>
      </c>
      <c r="D426" t="s">
        <v>13</v>
      </c>
      <c r="E426" t="s">
        <v>43</v>
      </c>
      <c r="F426" t="s">
        <v>29</v>
      </c>
      <c r="G426" s="2">
        <v>41</v>
      </c>
      <c r="H426" s="2">
        <v>929.42</v>
      </c>
      <c r="I426" s="2">
        <v>1052.6199999999999</v>
      </c>
      <c r="J426" s="2">
        <v>38106.22</v>
      </c>
      <c r="K426" s="2">
        <v>43157.42</v>
      </c>
      <c r="L426" s="2">
        <v>5051.2</v>
      </c>
    </row>
    <row r="427" spans="1:12" x14ac:dyDescent="0.3">
      <c r="A427" s="6">
        <f ca="1">Table1[[#This Row],[Date]]*1</f>
        <v>45331</v>
      </c>
      <c r="B427" t="s">
        <v>34</v>
      </c>
      <c r="C427" t="s">
        <v>2</v>
      </c>
      <c r="D427" t="s">
        <v>3</v>
      </c>
      <c r="E427" t="s">
        <v>4</v>
      </c>
      <c r="F427" t="s">
        <v>29</v>
      </c>
      <c r="G427" s="2">
        <v>29</v>
      </c>
      <c r="H427" s="2">
        <v>684.55</v>
      </c>
      <c r="I427" s="2">
        <v>754.41</v>
      </c>
      <c r="J427" s="2">
        <v>19851.95</v>
      </c>
      <c r="K427" s="2">
        <v>21877.89</v>
      </c>
      <c r="L427" s="2">
        <v>2025.94</v>
      </c>
    </row>
    <row r="428" spans="1:12" x14ac:dyDescent="0.3">
      <c r="A428" s="6">
        <f ca="1">Table1[[#This Row],[Date]]*1</f>
        <v>45623</v>
      </c>
      <c r="B428" t="s">
        <v>38</v>
      </c>
      <c r="C428" t="s">
        <v>6</v>
      </c>
      <c r="D428" t="s">
        <v>7</v>
      </c>
      <c r="E428" t="s">
        <v>31</v>
      </c>
      <c r="F428" t="s">
        <v>29</v>
      </c>
      <c r="G428" s="2">
        <v>37</v>
      </c>
      <c r="H428" s="2">
        <v>452.18</v>
      </c>
      <c r="I428" s="2">
        <v>595.63</v>
      </c>
      <c r="J428" s="2">
        <v>16730.66</v>
      </c>
      <c r="K428" s="2">
        <v>22038.31</v>
      </c>
      <c r="L428" s="2">
        <v>5307.65</v>
      </c>
    </row>
    <row r="429" spans="1:12" x14ac:dyDescent="0.3">
      <c r="A429" s="6">
        <f ca="1">Table1[[#This Row],[Date]]*1</f>
        <v>45639</v>
      </c>
      <c r="B429" t="s">
        <v>45</v>
      </c>
      <c r="C429" t="s">
        <v>2</v>
      </c>
      <c r="D429" t="s">
        <v>3</v>
      </c>
      <c r="E429" t="s">
        <v>35</v>
      </c>
      <c r="F429" t="s">
        <v>32</v>
      </c>
      <c r="G429" s="2">
        <v>45</v>
      </c>
      <c r="H429" s="2">
        <v>828.83</v>
      </c>
      <c r="I429" s="2">
        <v>1039.3800000000001</v>
      </c>
      <c r="J429" s="2">
        <v>37297.35</v>
      </c>
      <c r="K429" s="2">
        <v>46772.1</v>
      </c>
      <c r="L429" s="2">
        <v>9474.75</v>
      </c>
    </row>
    <row r="430" spans="1:12" x14ac:dyDescent="0.3">
      <c r="A430" s="6">
        <f ca="1">Table1[[#This Row],[Date]]*1</f>
        <v>45543</v>
      </c>
      <c r="B430" t="s">
        <v>30</v>
      </c>
      <c r="C430" t="s">
        <v>2</v>
      </c>
      <c r="D430" t="s">
        <v>5</v>
      </c>
      <c r="E430" t="s">
        <v>35</v>
      </c>
      <c r="F430" t="s">
        <v>29</v>
      </c>
      <c r="G430" s="2">
        <v>20</v>
      </c>
      <c r="H430" s="2">
        <v>830.51</v>
      </c>
      <c r="I430" s="2">
        <v>1119.81</v>
      </c>
      <c r="J430" s="2">
        <v>16610.2</v>
      </c>
      <c r="K430" s="2">
        <v>22396.2</v>
      </c>
      <c r="L430" s="2">
        <v>5786</v>
      </c>
    </row>
    <row r="431" spans="1:12" x14ac:dyDescent="0.3">
      <c r="A431" s="6">
        <f ca="1">Table1[[#This Row],[Date]]*1</f>
        <v>45307</v>
      </c>
      <c r="B431" t="s">
        <v>37</v>
      </c>
      <c r="C431" t="s">
        <v>6</v>
      </c>
      <c r="D431" t="s">
        <v>7</v>
      </c>
      <c r="E431" t="s">
        <v>40</v>
      </c>
      <c r="F431" t="s">
        <v>29</v>
      </c>
      <c r="G431" s="2">
        <v>6</v>
      </c>
      <c r="H431" s="2">
        <v>275.02999999999997</v>
      </c>
      <c r="I431" s="2">
        <v>354.96</v>
      </c>
      <c r="J431" s="2">
        <v>1650.18</v>
      </c>
      <c r="K431" s="2">
        <v>2129.7600000000002</v>
      </c>
      <c r="L431" s="2">
        <v>479.58</v>
      </c>
    </row>
    <row r="432" spans="1:12" x14ac:dyDescent="0.3">
      <c r="A432" s="6">
        <f ca="1">Table1[[#This Row],[Date]]*1</f>
        <v>45644</v>
      </c>
      <c r="B432" t="s">
        <v>28</v>
      </c>
      <c r="C432" t="s">
        <v>8</v>
      </c>
      <c r="D432" t="s">
        <v>9</v>
      </c>
      <c r="E432" t="s">
        <v>31</v>
      </c>
      <c r="F432" t="s">
        <v>29</v>
      </c>
      <c r="G432" s="2">
        <v>32</v>
      </c>
      <c r="H432" s="2">
        <v>203.56</v>
      </c>
      <c r="I432" s="2">
        <v>264.39999999999998</v>
      </c>
      <c r="J432" s="2">
        <v>6513.92</v>
      </c>
      <c r="K432" s="2">
        <v>8460.7999999999993</v>
      </c>
      <c r="L432" s="2">
        <v>1946.88</v>
      </c>
    </row>
    <row r="433" spans="1:12" x14ac:dyDescent="0.3">
      <c r="A433" s="6">
        <f ca="1">Table1[[#This Row],[Date]]*1</f>
        <v>45631</v>
      </c>
      <c r="B433" t="s">
        <v>28</v>
      </c>
      <c r="C433" t="s">
        <v>2</v>
      </c>
      <c r="D433" t="s">
        <v>14</v>
      </c>
      <c r="E433" t="s">
        <v>31</v>
      </c>
      <c r="F433" t="s">
        <v>32</v>
      </c>
      <c r="G433" s="2">
        <v>4</v>
      </c>
      <c r="H433" s="2">
        <v>880.73</v>
      </c>
      <c r="I433" s="2">
        <v>1222.69</v>
      </c>
      <c r="J433" s="2">
        <v>3522.92</v>
      </c>
      <c r="K433" s="2">
        <v>4890.76</v>
      </c>
      <c r="L433" s="2">
        <v>1367.84</v>
      </c>
    </row>
    <row r="434" spans="1:12" x14ac:dyDescent="0.3">
      <c r="A434" s="6">
        <f ca="1">Table1[[#This Row],[Date]]*1</f>
        <v>45443</v>
      </c>
      <c r="B434" t="s">
        <v>34</v>
      </c>
      <c r="C434" t="s">
        <v>8</v>
      </c>
      <c r="D434" t="s">
        <v>16</v>
      </c>
      <c r="E434" t="s">
        <v>35</v>
      </c>
      <c r="F434" t="s">
        <v>29</v>
      </c>
      <c r="G434" s="2">
        <v>33</v>
      </c>
      <c r="H434" s="2">
        <v>380.08</v>
      </c>
      <c r="I434" s="2">
        <v>544.65</v>
      </c>
      <c r="J434" s="2">
        <v>12542.64</v>
      </c>
      <c r="K434" s="2">
        <v>17973.45</v>
      </c>
      <c r="L434" s="2">
        <v>5430.81</v>
      </c>
    </row>
    <row r="435" spans="1:12" x14ac:dyDescent="0.3">
      <c r="A435" s="6">
        <f ca="1">Table1[[#This Row],[Date]]*1</f>
        <v>45425</v>
      </c>
      <c r="B435" t="s">
        <v>34</v>
      </c>
      <c r="C435" t="s">
        <v>8</v>
      </c>
      <c r="D435" t="s">
        <v>9</v>
      </c>
      <c r="E435" t="s">
        <v>4</v>
      </c>
      <c r="F435" t="s">
        <v>29</v>
      </c>
      <c r="G435" s="2">
        <v>22</v>
      </c>
      <c r="H435" s="2">
        <v>174.69</v>
      </c>
      <c r="I435" s="2">
        <v>226.31</v>
      </c>
      <c r="J435" s="2">
        <v>3843.18</v>
      </c>
      <c r="K435" s="2">
        <v>4978.82</v>
      </c>
      <c r="L435" s="2">
        <v>1135.6400000000001</v>
      </c>
    </row>
    <row r="436" spans="1:12" x14ac:dyDescent="0.3">
      <c r="A436" s="6">
        <f ca="1">Table1[[#This Row],[Date]]*1</f>
        <v>45440</v>
      </c>
      <c r="B436" t="s">
        <v>37</v>
      </c>
      <c r="C436" t="s">
        <v>2</v>
      </c>
      <c r="D436" t="s">
        <v>3</v>
      </c>
      <c r="E436" t="s">
        <v>35</v>
      </c>
      <c r="F436" t="s">
        <v>32</v>
      </c>
      <c r="G436" s="2">
        <v>42</v>
      </c>
      <c r="H436" s="2">
        <v>204.02</v>
      </c>
      <c r="I436" s="2">
        <v>273.95</v>
      </c>
      <c r="J436" s="2">
        <v>8568.84</v>
      </c>
      <c r="K436" s="2">
        <v>11505.9</v>
      </c>
      <c r="L436" s="2">
        <v>2937.06</v>
      </c>
    </row>
    <row r="437" spans="1:12" x14ac:dyDescent="0.3">
      <c r="A437" s="6">
        <f ca="1">Table1[[#This Row],[Date]]*1</f>
        <v>45332</v>
      </c>
      <c r="B437" t="s">
        <v>39</v>
      </c>
      <c r="C437" t="s">
        <v>6</v>
      </c>
      <c r="D437" t="s">
        <v>17</v>
      </c>
      <c r="E437" t="s">
        <v>40</v>
      </c>
      <c r="F437" t="s">
        <v>32</v>
      </c>
      <c r="G437" s="2">
        <v>45</v>
      </c>
      <c r="H437" s="2">
        <v>871.53</v>
      </c>
      <c r="I437" s="2">
        <v>1114.6400000000001</v>
      </c>
      <c r="J437" s="2">
        <v>39218.85</v>
      </c>
      <c r="K437" s="2">
        <v>50158.8</v>
      </c>
      <c r="L437" s="2">
        <v>10939.95</v>
      </c>
    </row>
    <row r="438" spans="1:12" x14ac:dyDescent="0.3">
      <c r="A438" s="6">
        <f ca="1">Table1[[#This Row],[Date]]*1</f>
        <v>45499</v>
      </c>
      <c r="B438" t="s">
        <v>30</v>
      </c>
      <c r="C438" t="s">
        <v>8</v>
      </c>
      <c r="D438" t="s">
        <v>42</v>
      </c>
      <c r="E438" t="s">
        <v>33</v>
      </c>
      <c r="F438" t="s">
        <v>29</v>
      </c>
      <c r="G438" s="2">
        <v>30</v>
      </c>
      <c r="H438" s="2">
        <v>716.25</v>
      </c>
      <c r="I438" s="2">
        <v>992.65</v>
      </c>
      <c r="J438" s="2">
        <v>21487.5</v>
      </c>
      <c r="K438" s="2">
        <v>29779.5</v>
      </c>
      <c r="L438" s="2">
        <v>8292</v>
      </c>
    </row>
    <row r="439" spans="1:12" x14ac:dyDescent="0.3">
      <c r="A439" s="6">
        <f ca="1">Table1[[#This Row],[Date]]*1</f>
        <v>45427</v>
      </c>
      <c r="B439" t="s">
        <v>38</v>
      </c>
      <c r="C439" t="s">
        <v>8</v>
      </c>
      <c r="D439" t="s">
        <v>42</v>
      </c>
      <c r="E439" t="s">
        <v>4</v>
      </c>
      <c r="F439" t="s">
        <v>32</v>
      </c>
      <c r="G439" s="2">
        <v>29</v>
      </c>
      <c r="H439" s="2">
        <v>63.87</v>
      </c>
      <c r="I439" s="2">
        <v>88.54</v>
      </c>
      <c r="J439" s="2">
        <v>1852.23</v>
      </c>
      <c r="K439" s="2">
        <v>2567.66</v>
      </c>
      <c r="L439" s="2">
        <v>715.43</v>
      </c>
    </row>
    <row r="440" spans="1:12" x14ac:dyDescent="0.3">
      <c r="A440" s="6">
        <f ca="1">Table1[[#This Row],[Date]]*1</f>
        <v>45588</v>
      </c>
      <c r="B440" t="s">
        <v>36</v>
      </c>
      <c r="C440" t="s">
        <v>6</v>
      </c>
      <c r="D440" t="s">
        <v>17</v>
      </c>
      <c r="E440" t="s">
        <v>40</v>
      </c>
      <c r="F440" t="s">
        <v>32</v>
      </c>
      <c r="G440" s="2">
        <v>41</v>
      </c>
      <c r="H440" s="2">
        <v>286.77999999999997</v>
      </c>
      <c r="I440" s="2">
        <v>416.21</v>
      </c>
      <c r="J440" s="2">
        <v>11757.98</v>
      </c>
      <c r="K440" s="2">
        <v>17064.61</v>
      </c>
      <c r="L440" s="2">
        <v>5306.63</v>
      </c>
    </row>
    <row r="441" spans="1:12" x14ac:dyDescent="0.3">
      <c r="A441" s="6">
        <f ca="1">Table1[[#This Row],[Date]]*1</f>
        <v>45393</v>
      </c>
      <c r="B441" t="s">
        <v>28</v>
      </c>
      <c r="C441" t="s">
        <v>11</v>
      </c>
      <c r="D441" t="s">
        <v>15</v>
      </c>
      <c r="E441" t="s">
        <v>43</v>
      </c>
      <c r="F441" t="s">
        <v>32</v>
      </c>
      <c r="G441" s="2">
        <v>25</v>
      </c>
      <c r="H441" s="2">
        <v>175.27</v>
      </c>
      <c r="I441" s="2">
        <v>203.61</v>
      </c>
      <c r="J441" s="2">
        <v>4381.75</v>
      </c>
      <c r="K441" s="2">
        <v>5090.25</v>
      </c>
      <c r="L441" s="2">
        <v>708.5</v>
      </c>
    </row>
    <row r="442" spans="1:12" x14ac:dyDescent="0.3">
      <c r="A442" s="6">
        <f ca="1">Table1[[#This Row],[Date]]*1</f>
        <v>45339</v>
      </c>
      <c r="B442" t="s">
        <v>38</v>
      </c>
      <c r="C442" t="s">
        <v>11</v>
      </c>
      <c r="D442" t="s">
        <v>12</v>
      </c>
      <c r="E442" t="s">
        <v>43</v>
      </c>
      <c r="F442" t="s">
        <v>29</v>
      </c>
      <c r="G442" s="2">
        <v>40</v>
      </c>
      <c r="H442" s="2">
        <v>614.79</v>
      </c>
      <c r="I442" s="2">
        <v>839.65</v>
      </c>
      <c r="J442" s="2">
        <v>24591.599999999999</v>
      </c>
      <c r="K442" s="2">
        <v>33586</v>
      </c>
      <c r="L442" s="2">
        <v>8994.4</v>
      </c>
    </row>
    <row r="443" spans="1:12" x14ac:dyDescent="0.3">
      <c r="A443" s="6">
        <f ca="1">Table1[[#This Row],[Date]]*1</f>
        <v>45548</v>
      </c>
      <c r="B443" t="s">
        <v>38</v>
      </c>
      <c r="C443" t="s">
        <v>8</v>
      </c>
      <c r="D443" t="s">
        <v>42</v>
      </c>
      <c r="E443" t="s">
        <v>31</v>
      </c>
      <c r="F443" t="s">
        <v>29</v>
      </c>
      <c r="G443" s="2">
        <v>23</v>
      </c>
      <c r="H443" s="2">
        <v>126.65</v>
      </c>
      <c r="I443" s="2">
        <v>172.36</v>
      </c>
      <c r="J443" s="2">
        <v>2912.95</v>
      </c>
      <c r="K443" s="2">
        <v>3964.28</v>
      </c>
      <c r="L443" s="2">
        <v>1051.33</v>
      </c>
    </row>
    <row r="444" spans="1:12" x14ac:dyDescent="0.3">
      <c r="A444" s="6">
        <f ca="1">Table1[[#This Row],[Date]]*1</f>
        <v>45527</v>
      </c>
      <c r="B444" t="s">
        <v>41</v>
      </c>
      <c r="C444" t="s">
        <v>8</v>
      </c>
      <c r="D444" t="s">
        <v>9</v>
      </c>
      <c r="E444" t="s">
        <v>4</v>
      </c>
      <c r="F444" t="s">
        <v>32</v>
      </c>
      <c r="G444" s="2">
        <v>14</v>
      </c>
      <c r="H444" s="2">
        <v>499.07</v>
      </c>
      <c r="I444" s="2">
        <v>686.97</v>
      </c>
      <c r="J444" s="2">
        <v>6986.98</v>
      </c>
      <c r="K444" s="2">
        <v>9617.58</v>
      </c>
      <c r="L444" s="2">
        <v>2630.6</v>
      </c>
    </row>
    <row r="445" spans="1:12" x14ac:dyDescent="0.3">
      <c r="A445" s="6">
        <f ca="1">Table1[[#This Row],[Date]]*1</f>
        <v>45572</v>
      </c>
      <c r="B445" t="s">
        <v>30</v>
      </c>
      <c r="C445" t="s">
        <v>11</v>
      </c>
      <c r="D445" t="s">
        <v>13</v>
      </c>
      <c r="E445" t="s">
        <v>31</v>
      </c>
      <c r="F445" t="s">
        <v>32</v>
      </c>
      <c r="G445" s="2">
        <v>41</v>
      </c>
      <c r="H445" s="2">
        <v>140.35</v>
      </c>
      <c r="I445" s="2">
        <v>183.13</v>
      </c>
      <c r="J445" s="2">
        <v>5754.35</v>
      </c>
      <c r="K445" s="2">
        <v>7508.33</v>
      </c>
      <c r="L445" s="2">
        <v>1753.98</v>
      </c>
    </row>
    <row r="446" spans="1:12" x14ac:dyDescent="0.3">
      <c r="A446" s="6">
        <f ca="1">Table1[[#This Row],[Date]]*1</f>
        <v>45333</v>
      </c>
      <c r="B446" t="s">
        <v>38</v>
      </c>
      <c r="C446" t="s">
        <v>6</v>
      </c>
      <c r="D446" t="s">
        <v>10</v>
      </c>
      <c r="E446" t="s">
        <v>43</v>
      </c>
      <c r="F446" t="s">
        <v>32</v>
      </c>
      <c r="G446" s="2">
        <v>27</v>
      </c>
      <c r="H446" s="2">
        <v>879.88</v>
      </c>
      <c r="I446" s="2">
        <v>1025.99</v>
      </c>
      <c r="J446" s="2">
        <v>23756.76</v>
      </c>
      <c r="K446" s="2">
        <v>27701.73</v>
      </c>
      <c r="L446" s="2">
        <v>3944.97</v>
      </c>
    </row>
    <row r="447" spans="1:12" x14ac:dyDescent="0.3">
      <c r="A447" s="6">
        <f ca="1">Table1[[#This Row],[Date]]*1</f>
        <v>45600</v>
      </c>
      <c r="B447" t="s">
        <v>30</v>
      </c>
      <c r="C447" t="s">
        <v>2</v>
      </c>
      <c r="D447" t="s">
        <v>5</v>
      </c>
      <c r="E447" t="s">
        <v>35</v>
      </c>
      <c r="F447" t="s">
        <v>29</v>
      </c>
      <c r="G447" s="2">
        <v>27</v>
      </c>
      <c r="H447" s="2">
        <v>995.07</v>
      </c>
      <c r="I447" s="2">
        <v>1302.02</v>
      </c>
      <c r="J447" s="2">
        <v>26866.89</v>
      </c>
      <c r="K447" s="2">
        <v>35154.54</v>
      </c>
      <c r="L447" s="2">
        <v>8287.65</v>
      </c>
    </row>
    <row r="448" spans="1:12" x14ac:dyDescent="0.3">
      <c r="A448" s="6">
        <f ca="1">Table1[[#This Row],[Date]]*1</f>
        <v>45433</v>
      </c>
      <c r="B448" t="s">
        <v>37</v>
      </c>
      <c r="C448" t="s">
        <v>11</v>
      </c>
      <c r="D448" t="s">
        <v>15</v>
      </c>
      <c r="E448" t="s">
        <v>31</v>
      </c>
      <c r="F448" t="s">
        <v>32</v>
      </c>
      <c r="G448" s="2">
        <v>31</v>
      </c>
      <c r="H448" s="2">
        <v>130.41999999999999</v>
      </c>
      <c r="I448" s="2">
        <v>188.53</v>
      </c>
      <c r="J448" s="2">
        <v>4043.02</v>
      </c>
      <c r="K448" s="2">
        <v>5844.43</v>
      </c>
      <c r="L448" s="2">
        <v>1801.41</v>
      </c>
    </row>
    <row r="449" spans="1:12" x14ac:dyDescent="0.3">
      <c r="A449" s="6">
        <f ca="1">Table1[[#This Row],[Date]]*1</f>
        <v>45321</v>
      </c>
      <c r="B449" t="s">
        <v>37</v>
      </c>
      <c r="C449" t="s">
        <v>2</v>
      </c>
      <c r="D449" t="s">
        <v>3</v>
      </c>
      <c r="E449" t="s">
        <v>40</v>
      </c>
      <c r="F449" t="s">
        <v>29</v>
      </c>
      <c r="G449" s="2">
        <v>42</v>
      </c>
      <c r="H449" s="2">
        <v>276.3</v>
      </c>
      <c r="I449" s="2">
        <v>370.41</v>
      </c>
      <c r="J449" s="2">
        <v>11604.6</v>
      </c>
      <c r="K449" s="2">
        <v>15557.22</v>
      </c>
      <c r="L449" s="2">
        <v>3952.62</v>
      </c>
    </row>
    <row r="450" spans="1:12" x14ac:dyDescent="0.3">
      <c r="A450" s="6">
        <f ca="1">Table1[[#This Row],[Date]]*1</f>
        <v>45358</v>
      </c>
      <c r="B450" t="s">
        <v>36</v>
      </c>
      <c r="C450" t="s">
        <v>8</v>
      </c>
      <c r="D450" t="s">
        <v>9</v>
      </c>
      <c r="E450" t="s">
        <v>33</v>
      </c>
      <c r="F450" t="s">
        <v>29</v>
      </c>
      <c r="G450" s="2">
        <v>3</v>
      </c>
      <c r="H450" s="2">
        <v>379.2</v>
      </c>
      <c r="I450" s="2">
        <v>431.77</v>
      </c>
      <c r="J450" s="2">
        <v>1137.5999999999999</v>
      </c>
      <c r="K450" s="2">
        <v>1295.31</v>
      </c>
      <c r="L450" s="2">
        <v>157.71</v>
      </c>
    </row>
    <row r="451" spans="1:12" x14ac:dyDescent="0.3">
      <c r="A451" s="6">
        <f ca="1">Table1[[#This Row],[Date]]*1</f>
        <v>45303</v>
      </c>
      <c r="B451" t="s">
        <v>28</v>
      </c>
      <c r="C451" t="s">
        <v>8</v>
      </c>
      <c r="D451" t="s">
        <v>9</v>
      </c>
      <c r="E451" t="s">
        <v>35</v>
      </c>
      <c r="F451" t="s">
        <v>29</v>
      </c>
      <c r="G451" s="2">
        <v>19</v>
      </c>
      <c r="H451" s="2">
        <v>335.64</v>
      </c>
      <c r="I451" s="2">
        <v>478.25</v>
      </c>
      <c r="J451" s="2">
        <v>6377.16</v>
      </c>
      <c r="K451" s="2">
        <v>9086.75</v>
      </c>
      <c r="L451" s="2">
        <v>2709.59</v>
      </c>
    </row>
    <row r="452" spans="1:12" x14ac:dyDescent="0.3">
      <c r="A452" s="6">
        <f ca="1">Table1[[#This Row],[Date]]*1</f>
        <v>45323</v>
      </c>
      <c r="B452" t="s">
        <v>36</v>
      </c>
      <c r="C452" t="s">
        <v>11</v>
      </c>
      <c r="D452" t="s">
        <v>13</v>
      </c>
      <c r="E452" t="s">
        <v>31</v>
      </c>
      <c r="F452" t="s">
        <v>29</v>
      </c>
      <c r="G452" s="2">
        <v>8</v>
      </c>
      <c r="H452" s="2">
        <v>321.99</v>
      </c>
      <c r="I452" s="2">
        <v>421.5</v>
      </c>
      <c r="J452" s="2">
        <v>2575.92</v>
      </c>
      <c r="K452" s="2">
        <v>3372</v>
      </c>
      <c r="L452" s="2">
        <v>796.08</v>
      </c>
    </row>
    <row r="453" spans="1:12" x14ac:dyDescent="0.3">
      <c r="A453" s="6">
        <f ca="1">Table1[[#This Row],[Date]]*1</f>
        <v>45363</v>
      </c>
      <c r="B453" t="s">
        <v>30</v>
      </c>
      <c r="C453" t="s">
        <v>2</v>
      </c>
      <c r="D453" t="s">
        <v>5</v>
      </c>
      <c r="E453" t="s">
        <v>31</v>
      </c>
      <c r="F453" t="s">
        <v>29</v>
      </c>
      <c r="G453" s="2">
        <v>36</v>
      </c>
      <c r="H453" s="2">
        <v>151.87</v>
      </c>
      <c r="I453" s="2">
        <v>188.33</v>
      </c>
      <c r="J453" s="2">
        <v>5467.32</v>
      </c>
      <c r="K453" s="2">
        <v>6779.88</v>
      </c>
      <c r="L453" s="2">
        <v>1312.56</v>
      </c>
    </row>
    <row r="454" spans="1:12" x14ac:dyDescent="0.3">
      <c r="A454" s="6">
        <f ca="1">Table1[[#This Row],[Date]]*1</f>
        <v>45647</v>
      </c>
      <c r="B454" t="s">
        <v>34</v>
      </c>
      <c r="C454" t="s">
        <v>8</v>
      </c>
      <c r="D454" t="s">
        <v>16</v>
      </c>
      <c r="E454" t="s">
        <v>4</v>
      </c>
      <c r="F454" t="s">
        <v>32</v>
      </c>
      <c r="G454" s="2">
        <v>26</v>
      </c>
      <c r="H454" s="2">
        <v>959.28</v>
      </c>
      <c r="I454" s="2">
        <v>1287.46</v>
      </c>
      <c r="J454" s="2">
        <v>24941.279999999999</v>
      </c>
      <c r="K454" s="2">
        <v>33473.96</v>
      </c>
      <c r="L454" s="2">
        <v>8532.68</v>
      </c>
    </row>
    <row r="455" spans="1:12" x14ac:dyDescent="0.3">
      <c r="A455" s="6">
        <f ca="1">Table1[[#This Row],[Date]]*1</f>
        <v>45543</v>
      </c>
      <c r="B455" t="s">
        <v>38</v>
      </c>
      <c r="C455" t="s">
        <v>2</v>
      </c>
      <c r="D455" t="s">
        <v>5</v>
      </c>
      <c r="E455" t="s">
        <v>40</v>
      </c>
      <c r="F455" t="s">
        <v>32</v>
      </c>
      <c r="G455" s="2">
        <v>2</v>
      </c>
      <c r="H455" s="2">
        <v>330.61</v>
      </c>
      <c r="I455" s="2">
        <v>479.7</v>
      </c>
      <c r="J455" s="2">
        <v>661.22</v>
      </c>
      <c r="K455" s="2">
        <v>959.4</v>
      </c>
      <c r="L455" s="2">
        <v>298.18</v>
      </c>
    </row>
    <row r="456" spans="1:12" x14ac:dyDescent="0.3">
      <c r="A456" s="6">
        <f ca="1">Table1[[#This Row],[Date]]*1</f>
        <v>45360</v>
      </c>
      <c r="B456" t="s">
        <v>44</v>
      </c>
      <c r="C456" t="s">
        <v>8</v>
      </c>
      <c r="D456" t="s">
        <v>9</v>
      </c>
      <c r="E456" t="s">
        <v>43</v>
      </c>
      <c r="F456" t="s">
        <v>29</v>
      </c>
      <c r="G456" s="2">
        <v>5</v>
      </c>
      <c r="H456" s="2">
        <v>467.19</v>
      </c>
      <c r="I456" s="2">
        <v>629.71</v>
      </c>
      <c r="J456" s="2">
        <v>2335.9499999999998</v>
      </c>
      <c r="K456" s="2">
        <v>3148.55</v>
      </c>
      <c r="L456" s="2">
        <v>812.6</v>
      </c>
    </row>
    <row r="457" spans="1:12" x14ac:dyDescent="0.3">
      <c r="A457" s="6">
        <f ca="1">Table1[[#This Row],[Date]]*1</f>
        <v>45314</v>
      </c>
      <c r="B457" t="s">
        <v>30</v>
      </c>
      <c r="C457" t="s">
        <v>11</v>
      </c>
      <c r="D457" t="s">
        <v>13</v>
      </c>
      <c r="E457" t="s">
        <v>31</v>
      </c>
      <c r="F457" t="s">
        <v>29</v>
      </c>
      <c r="G457" s="2">
        <v>12</v>
      </c>
      <c r="H457" s="2">
        <v>709.87</v>
      </c>
      <c r="I457" s="2">
        <v>1031.44</v>
      </c>
      <c r="J457" s="2">
        <v>8518.44</v>
      </c>
      <c r="K457" s="2">
        <v>12377.28</v>
      </c>
      <c r="L457" s="2">
        <v>3858.84</v>
      </c>
    </row>
    <row r="458" spans="1:12" x14ac:dyDescent="0.3">
      <c r="A458" s="6">
        <f ca="1">Table1[[#This Row],[Date]]*1</f>
        <v>45420</v>
      </c>
      <c r="B458" t="s">
        <v>36</v>
      </c>
      <c r="C458" t="s">
        <v>8</v>
      </c>
      <c r="D458" t="s">
        <v>16</v>
      </c>
      <c r="E458" t="s">
        <v>4</v>
      </c>
      <c r="F458" t="s">
        <v>29</v>
      </c>
      <c r="G458" s="2">
        <v>32</v>
      </c>
      <c r="H458" s="2">
        <v>947.25</v>
      </c>
      <c r="I458" s="2">
        <v>1417.89</v>
      </c>
      <c r="J458" s="2">
        <v>30312</v>
      </c>
      <c r="K458" s="2">
        <v>45372.480000000003</v>
      </c>
      <c r="L458" s="2">
        <v>15060.48</v>
      </c>
    </row>
    <row r="459" spans="1:12" x14ac:dyDescent="0.3">
      <c r="A459" s="6">
        <f ca="1">Table1[[#This Row],[Date]]*1</f>
        <v>45589</v>
      </c>
      <c r="B459" t="s">
        <v>41</v>
      </c>
      <c r="C459" t="s">
        <v>8</v>
      </c>
      <c r="D459" t="s">
        <v>9</v>
      </c>
      <c r="E459" t="s">
        <v>40</v>
      </c>
      <c r="F459" t="s">
        <v>29</v>
      </c>
      <c r="G459" s="2">
        <v>37</v>
      </c>
      <c r="H459" s="2">
        <v>851.23</v>
      </c>
      <c r="I459" s="2">
        <v>1264.49</v>
      </c>
      <c r="J459" s="2">
        <v>31495.51</v>
      </c>
      <c r="K459" s="2">
        <v>46786.13</v>
      </c>
      <c r="L459" s="2">
        <v>15290.62</v>
      </c>
    </row>
    <row r="460" spans="1:12" x14ac:dyDescent="0.3">
      <c r="A460" s="6">
        <f ca="1">Table1[[#This Row],[Date]]*1</f>
        <v>45574</v>
      </c>
      <c r="B460" t="s">
        <v>34</v>
      </c>
      <c r="C460" t="s">
        <v>2</v>
      </c>
      <c r="D460" t="s">
        <v>3</v>
      </c>
      <c r="E460" t="s">
        <v>35</v>
      </c>
      <c r="F460" t="s">
        <v>29</v>
      </c>
      <c r="G460" s="2">
        <v>26</v>
      </c>
      <c r="H460" s="2">
        <v>252.96</v>
      </c>
      <c r="I460" s="2">
        <v>315.99</v>
      </c>
      <c r="J460" s="2">
        <v>6576.96</v>
      </c>
      <c r="K460" s="2">
        <v>8215.74</v>
      </c>
      <c r="L460" s="2">
        <v>1638.78</v>
      </c>
    </row>
    <row r="461" spans="1:12" x14ac:dyDescent="0.3">
      <c r="A461" s="6">
        <f ca="1">Table1[[#This Row],[Date]]*1</f>
        <v>45597</v>
      </c>
      <c r="B461" t="s">
        <v>44</v>
      </c>
      <c r="C461" t="s">
        <v>11</v>
      </c>
      <c r="D461" t="s">
        <v>15</v>
      </c>
      <c r="E461" t="s">
        <v>43</v>
      </c>
      <c r="F461" t="s">
        <v>29</v>
      </c>
      <c r="G461" s="2">
        <v>10</v>
      </c>
      <c r="H461" s="2">
        <v>218.04</v>
      </c>
      <c r="I461" s="2">
        <v>242.82</v>
      </c>
      <c r="J461" s="2">
        <v>2180.4</v>
      </c>
      <c r="K461" s="2">
        <v>2428.1999999999998</v>
      </c>
      <c r="L461" s="2">
        <v>247.8</v>
      </c>
    </row>
    <row r="462" spans="1:12" x14ac:dyDescent="0.3">
      <c r="A462" s="6">
        <f ca="1">Table1[[#This Row],[Date]]*1</f>
        <v>45637</v>
      </c>
      <c r="B462" t="s">
        <v>37</v>
      </c>
      <c r="C462" t="s">
        <v>2</v>
      </c>
      <c r="D462" t="s">
        <v>5</v>
      </c>
      <c r="E462" t="s">
        <v>33</v>
      </c>
      <c r="F462" t="s">
        <v>29</v>
      </c>
      <c r="G462" s="2">
        <v>15</v>
      </c>
      <c r="H462" s="2">
        <v>151.79</v>
      </c>
      <c r="I462" s="2">
        <v>191.09</v>
      </c>
      <c r="J462" s="2">
        <v>2276.85</v>
      </c>
      <c r="K462" s="2">
        <v>2866.35</v>
      </c>
      <c r="L462" s="2">
        <v>589.5</v>
      </c>
    </row>
    <row r="463" spans="1:12" x14ac:dyDescent="0.3">
      <c r="A463" s="6">
        <f ca="1">Table1[[#This Row],[Date]]*1</f>
        <v>45537</v>
      </c>
      <c r="B463" t="s">
        <v>39</v>
      </c>
      <c r="C463" t="s">
        <v>8</v>
      </c>
      <c r="D463" t="s">
        <v>9</v>
      </c>
      <c r="E463" t="s">
        <v>4</v>
      </c>
      <c r="F463" t="s">
        <v>29</v>
      </c>
      <c r="G463" s="2">
        <v>21</v>
      </c>
      <c r="H463" s="2">
        <v>494.97</v>
      </c>
      <c r="I463" s="2">
        <v>593.53</v>
      </c>
      <c r="J463" s="2">
        <v>10394.370000000001</v>
      </c>
      <c r="K463" s="2">
        <v>12464.13</v>
      </c>
      <c r="L463" s="2">
        <v>2069.7600000000002</v>
      </c>
    </row>
    <row r="464" spans="1:12" x14ac:dyDescent="0.3">
      <c r="A464" s="6">
        <f ca="1">Table1[[#This Row],[Date]]*1</f>
        <v>45608</v>
      </c>
      <c r="B464" t="s">
        <v>45</v>
      </c>
      <c r="C464" t="s">
        <v>11</v>
      </c>
      <c r="D464" t="s">
        <v>13</v>
      </c>
      <c r="E464" t="s">
        <v>31</v>
      </c>
      <c r="F464" t="s">
        <v>29</v>
      </c>
      <c r="G464" s="2">
        <v>48</v>
      </c>
      <c r="H464" s="2">
        <v>371.92</v>
      </c>
      <c r="I464" s="2">
        <v>443.7</v>
      </c>
      <c r="J464" s="2">
        <v>17852.16</v>
      </c>
      <c r="K464" s="2">
        <v>21297.599999999999</v>
      </c>
      <c r="L464" s="2">
        <v>3445.44</v>
      </c>
    </row>
    <row r="465" spans="1:12" x14ac:dyDescent="0.3">
      <c r="A465" s="6">
        <f ca="1">Table1[[#This Row],[Date]]*1</f>
        <v>45574</v>
      </c>
      <c r="B465" t="s">
        <v>41</v>
      </c>
      <c r="C465" t="s">
        <v>11</v>
      </c>
      <c r="D465" t="s">
        <v>13</v>
      </c>
      <c r="E465" t="s">
        <v>31</v>
      </c>
      <c r="F465" t="s">
        <v>29</v>
      </c>
      <c r="G465" s="2">
        <v>5</v>
      </c>
      <c r="H465" s="2">
        <v>946.34</v>
      </c>
      <c r="I465" s="2">
        <v>1250.3599999999999</v>
      </c>
      <c r="J465" s="2">
        <v>4731.7</v>
      </c>
      <c r="K465" s="2">
        <v>6251.8</v>
      </c>
      <c r="L465" s="2">
        <v>1520.1</v>
      </c>
    </row>
    <row r="466" spans="1:12" x14ac:dyDescent="0.3">
      <c r="A466" s="6">
        <f ca="1">Table1[[#This Row],[Date]]*1</f>
        <v>45494</v>
      </c>
      <c r="B466" t="s">
        <v>36</v>
      </c>
      <c r="C466" t="s">
        <v>11</v>
      </c>
      <c r="D466" t="s">
        <v>15</v>
      </c>
      <c r="E466" t="s">
        <v>4</v>
      </c>
      <c r="F466" t="s">
        <v>32</v>
      </c>
      <c r="G466" s="2">
        <v>23</v>
      </c>
      <c r="H466" s="2">
        <v>180.93</v>
      </c>
      <c r="I466" s="2">
        <v>224.41</v>
      </c>
      <c r="J466" s="2">
        <v>4161.3900000000003</v>
      </c>
      <c r="K466" s="2">
        <v>5161.43</v>
      </c>
      <c r="L466" s="2">
        <v>1000.04</v>
      </c>
    </row>
    <row r="467" spans="1:12" x14ac:dyDescent="0.3">
      <c r="A467" s="6">
        <f ca="1">Table1[[#This Row],[Date]]*1</f>
        <v>45515</v>
      </c>
      <c r="B467" t="s">
        <v>41</v>
      </c>
      <c r="C467" t="s">
        <v>6</v>
      </c>
      <c r="D467" t="s">
        <v>17</v>
      </c>
      <c r="E467" t="s">
        <v>40</v>
      </c>
      <c r="F467" t="s">
        <v>29</v>
      </c>
      <c r="G467" s="2">
        <v>46</v>
      </c>
      <c r="H467" s="2">
        <v>680.98</v>
      </c>
      <c r="I467" s="2">
        <v>890.62</v>
      </c>
      <c r="J467" s="2">
        <v>31325.08</v>
      </c>
      <c r="K467" s="2">
        <v>40968.519999999997</v>
      </c>
      <c r="L467" s="2">
        <v>9643.44</v>
      </c>
    </row>
    <row r="468" spans="1:12" x14ac:dyDescent="0.3">
      <c r="A468" s="6">
        <f ca="1">Table1[[#This Row],[Date]]*1</f>
        <v>45338</v>
      </c>
      <c r="B468" t="s">
        <v>38</v>
      </c>
      <c r="C468" t="s">
        <v>8</v>
      </c>
      <c r="D468" t="s">
        <v>9</v>
      </c>
      <c r="E468" t="s">
        <v>4</v>
      </c>
      <c r="F468" t="s">
        <v>29</v>
      </c>
      <c r="G468" s="2">
        <v>40</v>
      </c>
      <c r="H468" s="2">
        <v>538.16999999999996</v>
      </c>
      <c r="I468" s="2">
        <v>804.26</v>
      </c>
      <c r="J468" s="2">
        <v>21526.799999999999</v>
      </c>
      <c r="K468" s="2">
        <v>32170.400000000001</v>
      </c>
      <c r="L468" s="2">
        <v>10643.6</v>
      </c>
    </row>
    <row r="469" spans="1:12" x14ac:dyDescent="0.3">
      <c r="A469" s="6">
        <f ca="1">Table1[[#This Row],[Date]]*1</f>
        <v>45644</v>
      </c>
      <c r="B469" t="s">
        <v>36</v>
      </c>
      <c r="C469" t="s">
        <v>2</v>
      </c>
      <c r="D469" t="s">
        <v>14</v>
      </c>
      <c r="E469" t="s">
        <v>33</v>
      </c>
      <c r="F469" t="s">
        <v>29</v>
      </c>
      <c r="G469" s="2">
        <v>4</v>
      </c>
      <c r="H469" s="2">
        <v>323.77999999999997</v>
      </c>
      <c r="I469" s="2">
        <v>382.82</v>
      </c>
      <c r="J469" s="2">
        <v>1295.1199999999999</v>
      </c>
      <c r="K469" s="2">
        <v>1531.28</v>
      </c>
      <c r="L469" s="2">
        <v>236.16</v>
      </c>
    </row>
    <row r="470" spans="1:12" x14ac:dyDescent="0.3">
      <c r="A470" s="6">
        <f ca="1">Table1[[#This Row],[Date]]*1</f>
        <v>45358</v>
      </c>
      <c r="B470" t="s">
        <v>30</v>
      </c>
      <c r="C470" t="s">
        <v>2</v>
      </c>
      <c r="D470" t="s">
        <v>3</v>
      </c>
      <c r="E470" t="s">
        <v>33</v>
      </c>
      <c r="F470" t="s">
        <v>32</v>
      </c>
      <c r="G470" s="2">
        <v>17</v>
      </c>
      <c r="H470" s="2">
        <v>660.2</v>
      </c>
      <c r="I470" s="2">
        <v>824.82</v>
      </c>
      <c r="J470" s="2">
        <v>11223.4</v>
      </c>
      <c r="K470" s="2">
        <v>14021.94</v>
      </c>
      <c r="L470" s="2">
        <v>2798.54</v>
      </c>
    </row>
    <row r="471" spans="1:12" x14ac:dyDescent="0.3">
      <c r="A471" s="6">
        <f ca="1">Table1[[#This Row],[Date]]*1</f>
        <v>45621</v>
      </c>
      <c r="B471" t="s">
        <v>34</v>
      </c>
      <c r="C471" t="s">
        <v>6</v>
      </c>
      <c r="D471" t="s">
        <v>10</v>
      </c>
      <c r="E471" t="s">
        <v>31</v>
      </c>
      <c r="F471" t="s">
        <v>29</v>
      </c>
      <c r="G471" s="2">
        <v>49</v>
      </c>
      <c r="H471" s="2">
        <v>297.14999999999998</v>
      </c>
      <c r="I471" s="2">
        <v>376.49</v>
      </c>
      <c r="J471" s="2">
        <v>14560.35</v>
      </c>
      <c r="K471" s="2">
        <v>18448.009999999998</v>
      </c>
      <c r="L471" s="2">
        <v>3887.66</v>
      </c>
    </row>
    <row r="472" spans="1:12" x14ac:dyDescent="0.3">
      <c r="A472" s="6">
        <f ca="1">Table1[[#This Row],[Date]]*1</f>
        <v>45353</v>
      </c>
      <c r="B472" t="s">
        <v>38</v>
      </c>
      <c r="C472" t="s">
        <v>8</v>
      </c>
      <c r="D472" t="s">
        <v>42</v>
      </c>
      <c r="E472" t="s">
        <v>33</v>
      </c>
      <c r="F472" t="s">
        <v>29</v>
      </c>
      <c r="G472" s="2">
        <v>10</v>
      </c>
      <c r="H472" s="2">
        <v>121.84</v>
      </c>
      <c r="I472" s="2">
        <v>181.26</v>
      </c>
      <c r="J472" s="2">
        <v>1218.4000000000001</v>
      </c>
      <c r="K472" s="2">
        <v>1812.6</v>
      </c>
      <c r="L472" s="2">
        <v>594.20000000000005</v>
      </c>
    </row>
    <row r="473" spans="1:12" x14ac:dyDescent="0.3">
      <c r="A473" s="6">
        <f ca="1">Table1[[#This Row],[Date]]*1</f>
        <v>45620</v>
      </c>
      <c r="B473" t="s">
        <v>41</v>
      </c>
      <c r="C473" t="s">
        <v>6</v>
      </c>
      <c r="D473" t="s">
        <v>17</v>
      </c>
      <c r="E473" t="s">
        <v>31</v>
      </c>
      <c r="F473" t="s">
        <v>32</v>
      </c>
      <c r="G473" s="2">
        <v>40</v>
      </c>
      <c r="H473" s="2">
        <v>459.64</v>
      </c>
      <c r="I473" s="2">
        <v>580.97</v>
      </c>
      <c r="J473" s="2">
        <v>18385.599999999999</v>
      </c>
      <c r="K473" s="2">
        <v>23238.799999999999</v>
      </c>
      <c r="L473" s="2">
        <v>4853.2</v>
      </c>
    </row>
    <row r="474" spans="1:12" x14ac:dyDescent="0.3">
      <c r="A474" s="6">
        <f ca="1">Table1[[#This Row],[Date]]*1</f>
        <v>45406</v>
      </c>
      <c r="B474" t="s">
        <v>36</v>
      </c>
      <c r="C474" t="s">
        <v>6</v>
      </c>
      <c r="D474" t="s">
        <v>10</v>
      </c>
      <c r="E474" t="s">
        <v>35</v>
      </c>
      <c r="F474" t="s">
        <v>32</v>
      </c>
      <c r="G474" s="2">
        <v>2</v>
      </c>
      <c r="H474" s="2">
        <v>117.56</v>
      </c>
      <c r="I474" s="2">
        <v>151.94</v>
      </c>
      <c r="J474" s="2">
        <v>235.12</v>
      </c>
      <c r="K474" s="2">
        <v>303.88</v>
      </c>
      <c r="L474" s="2">
        <v>68.760000000000005</v>
      </c>
    </row>
    <row r="475" spans="1:12" x14ac:dyDescent="0.3">
      <c r="A475" s="6">
        <f ca="1">Table1[[#This Row],[Date]]*1</f>
        <v>45540</v>
      </c>
      <c r="B475" t="s">
        <v>44</v>
      </c>
      <c r="C475" t="s">
        <v>8</v>
      </c>
      <c r="D475" t="s">
        <v>9</v>
      </c>
      <c r="E475" t="s">
        <v>4</v>
      </c>
      <c r="F475" t="s">
        <v>32</v>
      </c>
      <c r="G475" s="2">
        <v>16</v>
      </c>
      <c r="H475" s="2">
        <v>356.19</v>
      </c>
      <c r="I475" s="2">
        <v>431.49</v>
      </c>
      <c r="J475" s="2">
        <v>5699.04</v>
      </c>
      <c r="K475" s="2">
        <v>6903.84</v>
      </c>
      <c r="L475" s="2">
        <v>1204.8</v>
      </c>
    </row>
    <row r="476" spans="1:12" x14ac:dyDescent="0.3">
      <c r="A476" s="6">
        <f ca="1">Table1[[#This Row],[Date]]*1</f>
        <v>45320</v>
      </c>
      <c r="B476" t="s">
        <v>30</v>
      </c>
      <c r="C476" t="s">
        <v>8</v>
      </c>
      <c r="D476" t="s">
        <v>16</v>
      </c>
      <c r="E476" t="s">
        <v>40</v>
      </c>
      <c r="F476" t="s">
        <v>29</v>
      </c>
      <c r="G476" s="2">
        <v>36</v>
      </c>
      <c r="H476" s="2">
        <v>345.63</v>
      </c>
      <c r="I476" s="2">
        <v>381.78</v>
      </c>
      <c r="J476" s="2">
        <v>12442.68</v>
      </c>
      <c r="K476" s="2">
        <v>13744.08</v>
      </c>
      <c r="L476" s="2">
        <v>1301.4000000000001</v>
      </c>
    </row>
    <row r="477" spans="1:12" x14ac:dyDescent="0.3">
      <c r="A477" s="6">
        <f ca="1">Table1[[#This Row],[Date]]*1</f>
        <v>45602</v>
      </c>
      <c r="B477" t="s">
        <v>44</v>
      </c>
      <c r="C477" t="s">
        <v>11</v>
      </c>
      <c r="D477" t="s">
        <v>13</v>
      </c>
      <c r="E477" t="s">
        <v>40</v>
      </c>
      <c r="F477" t="s">
        <v>32</v>
      </c>
      <c r="G477" s="2">
        <v>8</v>
      </c>
      <c r="H477" s="2">
        <v>832.32</v>
      </c>
      <c r="I477" s="2">
        <v>986.66</v>
      </c>
      <c r="J477" s="2">
        <v>6658.56</v>
      </c>
      <c r="K477" s="2">
        <v>7893.28</v>
      </c>
      <c r="L477" s="2">
        <v>1234.72</v>
      </c>
    </row>
    <row r="478" spans="1:12" x14ac:dyDescent="0.3">
      <c r="A478" s="6">
        <f ca="1">Table1[[#This Row],[Date]]*1</f>
        <v>45475</v>
      </c>
      <c r="B478" t="s">
        <v>45</v>
      </c>
      <c r="C478" t="s">
        <v>11</v>
      </c>
      <c r="D478" t="s">
        <v>13</v>
      </c>
      <c r="E478" t="s">
        <v>35</v>
      </c>
      <c r="F478" t="s">
        <v>29</v>
      </c>
      <c r="G478" s="2">
        <v>6</v>
      </c>
      <c r="H478" s="2">
        <v>980.86</v>
      </c>
      <c r="I478" s="2">
        <v>1318.38</v>
      </c>
      <c r="J478" s="2">
        <v>5885.16</v>
      </c>
      <c r="K478" s="2">
        <v>7910.28</v>
      </c>
      <c r="L478" s="2">
        <v>2025.12</v>
      </c>
    </row>
    <row r="479" spans="1:12" x14ac:dyDescent="0.3">
      <c r="A479" s="6">
        <f ca="1">Table1[[#This Row],[Date]]*1</f>
        <v>45514</v>
      </c>
      <c r="B479" t="s">
        <v>34</v>
      </c>
      <c r="C479" t="s">
        <v>11</v>
      </c>
      <c r="D479" t="s">
        <v>13</v>
      </c>
      <c r="E479" t="s">
        <v>40</v>
      </c>
      <c r="F479" t="s">
        <v>32</v>
      </c>
      <c r="G479" s="2">
        <v>32</v>
      </c>
      <c r="H479" s="2">
        <v>815.78</v>
      </c>
      <c r="I479" s="2">
        <v>925.15</v>
      </c>
      <c r="J479" s="2">
        <v>26104.959999999999</v>
      </c>
      <c r="K479" s="2">
        <v>29604.799999999999</v>
      </c>
      <c r="L479" s="2">
        <v>3499.84</v>
      </c>
    </row>
    <row r="480" spans="1:12" x14ac:dyDescent="0.3">
      <c r="A480" s="6">
        <f ca="1">Table1[[#This Row],[Date]]*1</f>
        <v>45509</v>
      </c>
      <c r="B480" t="s">
        <v>45</v>
      </c>
      <c r="C480" t="s">
        <v>11</v>
      </c>
      <c r="D480" t="s">
        <v>12</v>
      </c>
      <c r="E480" t="s">
        <v>4</v>
      </c>
      <c r="F480" t="s">
        <v>29</v>
      </c>
      <c r="G480" s="2">
        <v>19</v>
      </c>
      <c r="H480" s="2">
        <v>428.61</v>
      </c>
      <c r="I480" s="2">
        <v>537.48</v>
      </c>
      <c r="J480" s="2">
        <v>8143.59</v>
      </c>
      <c r="K480" s="2">
        <v>10212.120000000001</v>
      </c>
      <c r="L480" s="2">
        <v>2068.5300000000002</v>
      </c>
    </row>
    <row r="481" spans="1:12" x14ac:dyDescent="0.3">
      <c r="A481" s="6">
        <f ca="1">Table1[[#This Row],[Date]]*1</f>
        <v>45508</v>
      </c>
      <c r="B481" t="s">
        <v>30</v>
      </c>
      <c r="C481" t="s">
        <v>8</v>
      </c>
      <c r="D481" t="s">
        <v>16</v>
      </c>
      <c r="E481" t="s">
        <v>40</v>
      </c>
      <c r="F481" t="s">
        <v>32</v>
      </c>
      <c r="G481" s="2">
        <v>47</v>
      </c>
      <c r="H481" s="2">
        <v>173.17</v>
      </c>
      <c r="I481" s="2">
        <v>249.32</v>
      </c>
      <c r="J481" s="2">
        <v>8138.99</v>
      </c>
      <c r="K481" s="2">
        <v>11718.04</v>
      </c>
      <c r="L481" s="2">
        <v>3579.05</v>
      </c>
    </row>
    <row r="482" spans="1:12" x14ac:dyDescent="0.3">
      <c r="A482" s="6">
        <f ca="1">Table1[[#This Row],[Date]]*1</f>
        <v>45477</v>
      </c>
      <c r="B482" t="s">
        <v>34</v>
      </c>
      <c r="C482" t="s">
        <v>6</v>
      </c>
      <c r="D482" t="s">
        <v>17</v>
      </c>
      <c r="E482" t="s">
        <v>40</v>
      </c>
      <c r="F482" t="s">
        <v>29</v>
      </c>
      <c r="G482" s="2">
        <v>49</v>
      </c>
      <c r="H482" s="2">
        <v>620.04999999999995</v>
      </c>
      <c r="I482" s="2">
        <v>765.95</v>
      </c>
      <c r="J482" s="2">
        <v>30382.45</v>
      </c>
      <c r="K482" s="2">
        <v>37531.550000000003</v>
      </c>
      <c r="L482" s="2">
        <v>7149.1</v>
      </c>
    </row>
    <row r="483" spans="1:12" x14ac:dyDescent="0.3">
      <c r="A483" s="6">
        <f ca="1">Table1[[#This Row],[Date]]*1</f>
        <v>45466</v>
      </c>
      <c r="B483" t="s">
        <v>37</v>
      </c>
      <c r="C483" t="s">
        <v>6</v>
      </c>
      <c r="D483" t="s">
        <v>17</v>
      </c>
      <c r="E483" t="s">
        <v>31</v>
      </c>
      <c r="F483" t="s">
        <v>32</v>
      </c>
      <c r="G483" s="2">
        <v>28</v>
      </c>
      <c r="H483" s="2">
        <v>266.08</v>
      </c>
      <c r="I483" s="2">
        <v>302.43</v>
      </c>
      <c r="J483" s="2">
        <v>7450.24</v>
      </c>
      <c r="K483" s="2">
        <v>8468.0400000000009</v>
      </c>
      <c r="L483" s="2">
        <v>1017.8</v>
      </c>
    </row>
    <row r="484" spans="1:12" x14ac:dyDescent="0.3">
      <c r="A484" s="6">
        <f ca="1">Table1[[#This Row],[Date]]*1</f>
        <v>45654</v>
      </c>
      <c r="B484" t="s">
        <v>34</v>
      </c>
      <c r="C484" t="s">
        <v>6</v>
      </c>
      <c r="D484" t="s">
        <v>10</v>
      </c>
      <c r="E484" t="s">
        <v>35</v>
      </c>
      <c r="F484" t="s">
        <v>29</v>
      </c>
      <c r="G484" s="2">
        <v>7</v>
      </c>
      <c r="H484" s="2">
        <v>522.52</v>
      </c>
      <c r="I484" s="2">
        <v>597.22</v>
      </c>
      <c r="J484" s="2">
        <v>3657.64</v>
      </c>
      <c r="K484" s="2">
        <v>4180.54</v>
      </c>
      <c r="L484" s="2">
        <v>522.9</v>
      </c>
    </row>
    <row r="485" spans="1:12" x14ac:dyDescent="0.3">
      <c r="A485" s="6">
        <f ca="1">Table1[[#This Row],[Date]]*1</f>
        <v>45630</v>
      </c>
      <c r="B485" t="s">
        <v>36</v>
      </c>
      <c r="C485" t="s">
        <v>2</v>
      </c>
      <c r="D485" t="s">
        <v>14</v>
      </c>
      <c r="E485" t="s">
        <v>33</v>
      </c>
      <c r="F485" t="s">
        <v>32</v>
      </c>
      <c r="G485" s="2">
        <v>38</v>
      </c>
      <c r="H485" s="2">
        <v>950.8</v>
      </c>
      <c r="I485" s="2">
        <v>1055.03</v>
      </c>
      <c r="J485" s="2">
        <v>36130.400000000001</v>
      </c>
      <c r="K485" s="2">
        <v>40091.14</v>
      </c>
      <c r="L485" s="2">
        <v>3960.74</v>
      </c>
    </row>
    <row r="486" spans="1:12" x14ac:dyDescent="0.3">
      <c r="A486" s="6">
        <f ca="1">Table1[[#This Row],[Date]]*1</f>
        <v>45428</v>
      </c>
      <c r="B486" t="s">
        <v>39</v>
      </c>
      <c r="C486" t="s">
        <v>6</v>
      </c>
      <c r="D486" t="s">
        <v>7</v>
      </c>
      <c r="E486" t="s">
        <v>4</v>
      </c>
      <c r="F486" t="s">
        <v>29</v>
      </c>
      <c r="G486" s="2">
        <v>29</v>
      </c>
      <c r="H486" s="2">
        <v>980.22</v>
      </c>
      <c r="I486" s="2">
        <v>1243.05</v>
      </c>
      <c r="J486" s="2">
        <v>28426.38</v>
      </c>
      <c r="K486" s="2">
        <v>36048.449999999997</v>
      </c>
      <c r="L486" s="2">
        <v>7622.07</v>
      </c>
    </row>
    <row r="487" spans="1:12" x14ac:dyDescent="0.3">
      <c r="A487" s="6">
        <f ca="1">Table1[[#This Row],[Date]]*1</f>
        <v>45353</v>
      </c>
      <c r="B487" t="s">
        <v>44</v>
      </c>
      <c r="C487" t="s">
        <v>2</v>
      </c>
      <c r="D487" t="s">
        <v>14</v>
      </c>
      <c r="E487" t="s">
        <v>33</v>
      </c>
      <c r="F487" t="s">
        <v>29</v>
      </c>
      <c r="G487" s="2">
        <v>11</v>
      </c>
      <c r="H487" s="2">
        <v>480.48</v>
      </c>
      <c r="I487" s="2">
        <v>610.51</v>
      </c>
      <c r="J487" s="2">
        <v>5285.28</v>
      </c>
      <c r="K487" s="2">
        <v>6715.61</v>
      </c>
      <c r="L487" s="2">
        <v>1430.33</v>
      </c>
    </row>
    <row r="488" spans="1:12" x14ac:dyDescent="0.3">
      <c r="A488" s="6">
        <f ca="1">Table1[[#This Row],[Date]]*1</f>
        <v>45331</v>
      </c>
      <c r="B488" t="s">
        <v>37</v>
      </c>
      <c r="C488" t="s">
        <v>6</v>
      </c>
      <c r="D488" t="s">
        <v>7</v>
      </c>
      <c r="E488" t="s">
        <v>40</v>
      </c>
      <c r="F488" t="s">
        <v>29</v>
      </c>
      <c r="G488" s="2">
        <v>8</v>
      </c>
      <c r="H488" s="2">
        <v>620.64</v>
      </c>
      <c r="I488" s="2">
        <v>705.44</v>
      </c>
      <c r="J488" s="2">
        <v>4965.12</v>
      </c>
      <c r="K488" s="2">
        <v>5643.52</v>
      </c>
      <c r="L488" s="2">
        <v>678.4</v>
      </c>
    </row>
    <row r="489" spans="1:12" x14ac:dyDescent="0.3">
      <c r="A489" s="6">
        <f ca="1">Table1[[#This Row],[Date]]*1</f>
        <v>45438</v>
      </c>
      <c r="B489" t="s">
        <v>41</v>
      </c>
      <c r="C489" t="s">
        <v>8</v>
      </c>
      <c r="D489" t="s">
        <v>42</v>
      </c>
      <c r="E489" t="s">
        <v>31</v>
      </c>
      <c r="F489" t="s">
        <v>32</v>
      </c>
      <c r="G489" s="2">
        <v>3</v>
      </c>
      <c r="H489" s="2">
        <v>98.81</v>
      </c>
      <c r="I489" s="2">
        <v>135.63999999999999</v>
      </c>
      <c r="J489" s="2">
        <v>296.43</v>
      </c>
      <c r="K489" s="2">
        <v>406.92</v>
      </c>
      <c r="L489" s="2">
        <v>110.49</v>
      </c>
    </row>
    <row r="490" spans="1:12" x14ac:dyDescent="0.3">
      <c r="A490" s="6">
        <f ca="1">Table1[[#This Row],[Date]]*1</f>
        <v>45514</v>
      </c>
      <c r="B490" t="s">
        <v>45</v>
      </c>
      <c r="C490" t="s">
        <v>11</v>
      </c>
      <c r="D490" t="s">
        <v>13</v>
      </c>
      <c r="E490" t="s">
        <v>31</v>
      </c>
      <c r="F490" t="s">
        <v>29</v>
      </c>
      <c r="G490" s="2">
        <v>43</v>
      </c>
      <c r="H490" s="2">
        <v>601.54999999999995</v>
      </c>
      <c r="I490" s="2">
        <v>787.53</v>
      </c>
      <c r="J490" s="2">
        <v>25866.65</v>
      </c>
      <c r="K490" s="2">
        <v>33863.79</v>
      </c>
      <c r="L490" s="2">
        <v>7997.14</v>
      </c>
    </row>
    <row r="491" spans="1:12" x14ac:dyDescent="0.3">
      <c r="A491" s="6">
        <f ca="1">Table1[[#This Row],[Date]]*1</f>
        <v>45587</v>
      </c>
      <c r="B491" t="s">
        <v>39</v>
      </c>
      <c r="C491" t="s">
        <v>8</v>
      </c>
      <c r="D491" t="s">
        <v>16</v>
      </c>
      <c r="E491" t="s">
        <v>33</v>
      </c>
      <c r="F491" t="s">
        <v>32</v>
      </c>
      <c r="G491" s="2">
        <v>19</v>
      </c>
      <c r="H491" s="2">
        <v>63.46</v>
      </c>
      <c r="I491" s="2">
        <v>90.07</v>
      </c>
      <c r="J491" s="2">
        <v>1205.74</v>
      </c>
      <c r="K491" s="2">
        <v>1711.33</v>
      </c>
      <c r="L491" s="2">
        <v>505.59</v>
      </c>
    </row>
    <row r="492" spans="1:12" x14ac:dyDescent="0.3">
      <c r="A492" s="6">
        <f ca="1">Table1[[#This Row],[Date]]*1</f>
        <v>45473</v>
      </c>
      <c r="B492" t="s">
        <v>37</v>
      </c>
      <c r="C492" t="s">
        <v>8</v>
      </c>
      <c r="D492" t="s">
        <v>42</v>
      </c>
      <c r="E492" t="s">
        <v>43</v>
      </c>
      <c r="F492" t="s">
        <v>29</v>
      </c>
      <c r="G492" s="2">
        <v>9</v>
      </c>
      <c r="H492" s="2">
        <v>811.68</v>
      </c>
      <c r="I492" s="2">
        <v>1172.3399999999999</v>
      </c>
      <c r="J492" s="2">
        <v>7305.12</v>
      </c>
      <c r="K492" s="2">
        <v>10551.06</v>
      </c>
      <c r="L492" s="2">
        <v>3245.94</v>
      </c>
    </row>
    <row r="493" spans="1:12" x14ac:dyDescent="0.3">
      <c r="A493" s="6">
        <f ca="1">Table1[[#This Row],[Date]]*1</f>
        <v>45369</v>
      </c>
      <c r="B493" t="s">
        <v>34</v>
      </c>
      <c r="C493" t="s">
        <v>8</v>
      </c>
      <c r="D493" t="s">
        <v>9</v>
      </c>
      <c r="E493" t="s">
        <v>43</v>
      </c>
      <c r="F493" t="s">
        <v>29</v>
      </c>
      <c r="G493" s="2">
        <v>27</v>
      </c>
      <c r="H493" s="2">
        <v>968.74</v>
      </c>
      <c r="I493" s="2">
        <v>1391.6</v>
      </c>
      <c r="J493" s="2">
        <v>26155.98</v>
      </c>
      <c r="K493" s="2">
        <v>37573.199999999997</v>
      </c>
      <c r="L493" s="2">
        <v>11417.22</v>
      </c>
    </row>
    <row r="494" spans="1:12" x14ac:dyDescent="0.3">
      <c r="A494" s="6">
        <f ca="1">Table1[[#This Row],[Date]]*1</f>
        <v>45570</v>
      </c>
      <c r="B494" t="s">
        <v>37</v>
      </c>
      <c r="C494" t="s">
        <v>2</v>
      </c>
      <c r="D494" t="s">
        <v>3</v>
      </c>
      <c r="E494" t="s">
        <v>31</v>
      </c>
      <c r="F494" t="s">
        <v>32</v>
      </c>
      <c r="G494" s="2">
        <v>34</v>
      </c>
      <c r="H494" s="2">
        <v>677.95</v>
      </c>
      <c r="I494" s="2">
        <v>981.06</v>
      </c>
      <c r="J494" s="2">
        <v>23050.3</v>
      </c>
      <c r="K494" s="2">
        <v>33356.04</v>
      </c>
      <c r="L494" s="2">
        <v>10305.74</v>
      </c>
    </row>
    <row r="495" spans="1:12" x14ac:dyDescent="0.3">
      <c r="A495" s="6">
        <f ca="1">Table1[[#This Row],[Date]]*1</f>
        <v>45612</v>
      </c>
      <c r="B495" t="s">
        <v>28</v>
      </c>
      <c r="C495" t="s">
        <v>11</v>
      </c>
      <c r="D495" t="s">
        <v>13</v>
      </c>
      <c r="E495" t="s">
        <v>4</v>
      </c>
      <c r="F495" t="s">
        <v>29</v>
      </c>
      <c r="G495" s="2">
        <v>34</v>
      </c>
      <c r="H495" s="2">
        <v>248.84</v>
      </c>
      <c r="I495" s="2">
        <v>312.72000000000003</v>
      </c>
      <c r="J495" s="2">
        <v>8460.56</v>
      </c>
      <c r="K495" s="2">
        <v>10632.48</v>
      </c>
      <c r="L495" s="2">
        <v>2171.92</v>
      </c>
    </row>
    <row r="496" spans="1:12" x14ac:dyDescent="0.3">
      <c r="A496" s="6">
        <f ca="1">Table1[[#This Row],[Date]]*1</f>
        <v>45596</v>
      </c>
      <c r="B496" t="s">
        <v>41</v>
      </c>
      <c r="C496" t="s">
        <v>6</v>
      </c>
      <c r="D496" t="s">
        <v>17</v>
      </c>
      <c r="E496" t="s">
        <v>33</v>
      </c>
      <c r="F496" t="s">
        <v>29</v>
      </c>
      <c r="G496" s="2">
        <v>20</v>
      </c>
      <c r="H496" s="2">
        <v>558.41999999999996</v>
      </c>
      <c r="I496" s="2">
        <v>770.2</v>
      </c>
      <c r="J496" s="2">
        <v>11168.4</v>
      </c>
      <c r="K496" s="2">
        <v>15404</v>
      </c>
      <c r="L496" s="2">
        <v>4235.6000000000004</v>
      </c>
    </row>
    <row r="497" spans="1:12" x14ac:dyDescent="0.3">
      <c r="A497" s="6">
        <f ca="1">Table1[[#This Row],[Date]]*1</f>
        <v>45424</v>
      </c>
      <c r="B497" t="s">
        <v>39</v>
      </c>
      <c r="C497" t="s">
        <v>11</v>
      </c>
      <c r="D497" t="s">
        <v>15</v>
      </c>
      <c r="E497" t="s">
        <v>35</v>
      </c>
      <c r="F497" t="s">
        <v>29</v>
      </c>
      <c r="G497" s="2">
        <v>30</v>
      </c>
      <c r="H497" s="2">
        <v>698.26</v>
      </c>
      <c r="I497" s="2">
        <v>802.17</v>
      </c>
      <c r="J497" s="2">
        <v>20947.8</v>
      </c>
      <c r="K497" s="2">
        <v>24065.1</v>
      </c>
      <c r="L497" s="2">
        <v>3117.3</v>
      </c>
    </row>
    <row r="498" spans="1:12" x14ac:dyDescent="0.3">
      <c r="A498" s="6">
        <f ca="1">Table1[[#This Row],[Date]]*1</f>
        <v>45579</v>
      </c>
      <c r="B498" t="s">
        <v>37</v>
      </c>
      <c r="C498" t="s">
        <v>11</v>
      </c>
      <c r="D498" t="s">
        <v>15</v>
      </c>
      <c r="E498" t="s">
        <v>35</v>
      </c>
      <c r="F498" t="s">
        <v>29</v>
      </c>
      <c r="G498" s="2">
        <v>43</v>
      </c>
      <c r="H498" s="2">
        <v>792.98</v>
      </c>
      <c r="I498" s="2">
        <v>1061.04</v>
      </c>
      <c r="J498" s="2">
        <v>34098.14</v>
      </c>
      <c r="K498" s="2">
        <v>45624.72</v>
      </c>
      <c r="L498" s="2">
        <v>11526.58</v>
      </c>
    </row>
    <row r="499" spans="1:12" x14ac:dyDescent="0.3">
      <c r="A499" s="6">
        <f ca="1">Table1[[#This Row],[Date]]*1</f>
        <v>45539</v>
      </c>
      <c r="B499" t="s">
        <v>28</v>
      </c>
      <c r="C499" t="s">
        <v>8</v>
      </c>
      <c r="D499" t="s">
        <v>16</v>
      </c>
      <c r="E499" t="s">
        <v>4</v>
      </c>
      <c r="F499" t="s">
        <v>29</v>
      </c>
      <c r="G499" s="2">
        <v>44</v>
      </c>
      <c r="H499" s="2">
        <v>72.209999999999994</v>
      </c>
      <c r="I499" s="2">
        <v>79.77</v>
      </c>
      <c r="J499" s="2">
        <v>3177.24</v>
      </c>
      <c r="K499" s="2">
        <v>3509.88</v>
      </c>
      <c r="L499" s="2">
        <v>332.64</v>
      </c>
    </row>
    <row r="500" spans="1:12" x14ac:dyDescent="0.3">
      <c r="A500" s="6">
        <f ca="1">Table1[[#This Row],[Date]]*1</f>
        <v>45580</v>
      </c>
      <c r="B500" t="s">
        <v>34</v>
      </c>
      <c r="C500" t="s">
        <v>6</v>
      </c>
      <c r="D500" t="s">
        <v>17</v>
      </c>
      <c r="E500" t="s">
        <v>4</v>
      </c>
      <c r="F500" t="s">
        <v>29</v>
      </c>
      <c r="G500" s="2">
        <v>36</v>
      </c>
      <c r="H500" s="2">
        <v>366.26</v>
      </c>
      <c r="I500" s="2">
        <v>498.24</v>
      </c>
      <c r="J500" s="2">
        <v>13185.36</v>
      </c>
      <c r="K500" s="2">
        <v>17936.64</v>
      </c>
      <c r="L500" s="2">
        <v>4751.28</v>
      </c>
    </row>
    <row r="501" spans="1:12" x14ac:dyDescent="0.3">
      <c r="A501" s="6">
        <f ca="1">Table1[[#This Row],[Date]]*1</f>
        <v>45574</v>
      </c>
      <c r="B501" t="s">
        <v>28</v>
      </c>
      <c r="C501" t="s">
        <v>6</v>
      </c>
      <c r="D501" t="s">
        <v>10</v>
      </c>
      <c r="E501" t="s">
        <v>4</v>
      </c>
      <c r="F501" t="s">
        <v>29</v>
      </c>
      <c r="G501" s="2">
        <v>11</v>
      </c>
      <c r="H501" s="2">
        <v>670.97</v>
      </c>
      <c r="I501" s="2">
        <v>990.2</v>
      </c>
      <c r="J501" s="2">
        <v>7380.67</v>
      </c>
      <c r="K501" s="2">
        <v>10892.2</v>
      </c>
      <c r="L501" s="2">
        <v>3511.53</v>
      </c>
    </row>
    <row r="502" spans="1:12" x14ac:dyDescent="0.3">
      <c r="A502" s="6">
        <f ca="1">Table1[[#This Row],[Date]]*1</f>
        <v>45295</v>
      </c>
      <c r="B502" t="s">
        <v>34</v>
      </c>
      <c r="C502" t="s">
        <v>6</v>
      </c>
      <c r="D502" t="s">
        <v>17</v>
      </c>
      <c r="E502" t="s">
        <v>31</v>
      </c>
      <c r="F502" t="s">
        <v>32</v>
      </c>
      <c r="G502" s="2">
        <v>41</v>
      </c>
      <c r="H502" s="2">
        <v>626.54</v>
      </c>
      <c r="I502" s="2">
        <v>720.37</v>
      </c>
      <c r="J502" s="2">
        <v>25688.14</v>
      </c>
      <c r="K502" s="2">
        <v>29535.17</v>
      </c>
      <c r="L502" s="2">
        <v>3847.03</v>
      </c>
    </row>
    <row r="503" spans="1:12" x14ac:dyDescent="0.3">
      <c r="A503" s="6">
        <f ca="1">Table1[[#This Row],[Date]]*1</f>
        <v>45385</v>
      </c>
      <c r="B503" t="s">
        <v>39</v>
      </c>
      <c r="C503" t="s">
        <v>8</v>
      </c>
      <c r="D503" t="s">
        <v>42</v>
      </c>
      <c r="E503" t="s">
        <v>43</v>
      </c>
      <c r="F503" t="s">
        <v>29</v>
      </c>
      <c r="G503" s="2">
        <v>13</v>
      </c>
      <c r="H503" s="2">
        <v>732.6</v>
      </c>
      <c r="I503" s="2">
        <v>1070.6400000000001</v>
      </c>
      <c r="J503" s="2">
        <v>9523.7999999999993</v>
      </c>
      <c r="K503" s="2">
        <v>13918.32</v>
      </c>
      <c r="L503" s="2">
        <v>4394.5200000000004</v>
      </c>
    </row>
    <row r="504" spans="1:12" x14ac:dyDescent="0.3">
      <c r="A504" s="6">
        <f ca="1">Table1[[#This Row],[Date]]*1</f>
        <v>45541</v>
      </c>
      <c r="B504" t="s">
        <v>30</v>
      </c>
      <c r="C504" t="s">
        <v>8</v>
      </c>
      <c r="D504" t="s">
        <v>16</v>
      </c>
      <c r="E504" t="s">
        <v>31</v>
      </c>
      <c r="F504" t="s">
        <v>32</v>
      </c>
      <c r="G504" s="2">
        <v>33</v>
      </c>
      <c r="H504" s="2">
        <v>150.66999999999999</v>
      </c>
      <c r="I504" s="2">
        <v>219.8</v>
      </c>
      <c r="J504" s="2">
        <v>4972.1099999999997</v>
      </c>
      <c r="K504" s="2">
        <v>7253.4</v>
      </c>
      <c r="L504" s="2">
        <v>2281.29</v>
      </c>
    </row>
    <row r="505" spans="1:12" x14ac:dyDescent="0.3">
      <c r="A505" s="6">
        <f ca="1">Table1[[#This Row],[Date]]*1</f>
        <v>45312</v>
      </c>
      <c r="B505" t="s">
        <v>28</v>
      </c>
      <c r="C505" t="s">
        <v>2</v>
      </c>
      <c r="D505" t="s">
        <v>5</v>
      </c>
      <c r="E505" t="s">
        <v>4</v>
      </c>
      <c r="F505" t="s">
        <v>29</v>
      </c>
      <c r="G505" s="2">
        <v>48</v>
      </c>
      <c r="H505" s="2">
        <v>317.22000000000003</v>
      </c>
      <c r="I505" s="2">
        <v>375.46</v>
      </c>
      <c r="J505" s="2">
        <v>15226.56</v>
      </c>
      <c r="K505" s="2">
        <v>18022.080000000002</v>
      </c>
      <c r="L505" s="2">
        <v>2795.52</v>
      </c>
    </row>
    <row r="506" spans="1:12" x14ac:dyDescent="0.3">
      <c r="A506" s="6">
        <f ca="1">Table1[[#This Row],[Date]]*1</f>
        <v>45448</v>
      </c>
      <c r="B506" t="s">
        <v>39</v>
      </c>
      <c r="C506" t="s">
        <v>2</v>
      </c>
      <c r="D506" t="s">
        <v>5</v>
      </c>
      <c r="E506" t="s">
        <v>33</v>
      </c>
      <c r="F506" t="s">
        <v>29</v>
      </c>
      <c r="G506" s="2">
        <v>33</v>
      </c>
      <c r="H506" s="2">
        <v>502.21</v>
      </c>
      <c r="I506" s="2">
        <v>635.91999999999996</v>
      </c>
      <c r="J506" s="2">
        <v>16572.93</v>
      </c>
      <c r="K506" s="2">
        <v>20985.360000000001</v>
      </c>
      <c r="L506" s="2">
        <v>4412.43</v>
      </c>
    </row>
    <row r="507" spans="1:12" x14ac:dyDescent="0.3">
      <c r="A507" s="6">
        <f ca="1">Table1[[#This Row],[Date]]*1</f>
        <v>45449</v>
      </c>
      <c r="B507" t="s">
        <v>36</v>
      </c>
      <c r="C507" t="s">
        <v>11</v>
      </c>
      <c r="D507" t="s">
        <v>12</v>
      </c>
      <c r="E507" t="s">
        <v>33</v>
      </c>
      <c r="F507" t="s">
        <v>29</v>
      </c>
      <c r="G507" s="2">
        <v>13</v>
      </c>
      <c r="H507" s="2">
        <v>355.45</v>
      </c>
      <c r="I507" s="2">
        <v>520</v>
      </c>
      <c r="J507" s="2">
        <v>4620.8500000000004</v>
      </c>
      <c r="K507" s="2">
        <v>6760</v>
      </c>
      <c r="L507" s="2">
        <v>2139.15</v>
      </c>
    </row>
    <row r="508" spans="1:12" x14ac:dyDescent="0.3">
      <c r="A508" s="6">
        <f ca="1">Table1[[#This Row],[Date]]*1</f>
        <v>45412</v>
      </c>
      <c r="B508" t="s">
        <v>45</v>
      </c>
      <c r="C508" t="s">
        <v>2</v>
      </c>
      <c r="D508" t="s">
        <v>5</v>
      </c>
      <c r="E508" t="s">
        <v>40</v>
      </c>
      <c r="F508" t="s">
        <v>32</v>
      </c>
      <c r="G508" s="2">
        <v>49</v>
      </c>
      <c r="H508" s="2">
        <v>582.51</v>
      </c>
      <c r="I508" s="2">
        <v>682.01</v>
      </c>
      <c r="J508" s="2">
        <v>28542.99</v>
      </c>
      <c r="K508" s="2">
        <v>33418.49</v>
      </c>
      <c r="L508" s="2">
        <v>4875.5</v>
      </c>
    </row>
    <row r="509" spans="1:12" x14ac:dyDescent="0.3">
      <c r="A509" s="6">
        <f ca="1">Table1[[#This Row],[Date]]*1</f>
        <v>45597</v>
      </c>
      <c r="B509" t="s">
        <v>45</v>
      </c>
      <c r="C509" t="s">
        <v>11</v>
      </c>
      <c r="D509" t="s">
        <v>15</v>
      </c>
      <c r="E509" t="s">
        <v>35</v>
      </c>
      <c r="F509" t="s">
        <v>32</v>
      </c>
      <c r="G509" s="2">
        <v>7</v>
      </c>
      <c r="H509" s="2">
        <v>228.13</v>
      </c>
      <c r="I509" s="2">
        <v>340.78</v>
      </c>
      <c r="J509" s="2">
        <v>1596.91</v>
      </c>
      <c r="K509" s="2">
        <v>2385.46</v>
      </c>
      <c r="L509" s="2">
        <v>788.55</v>
      </c>
    </row>
    <row r="510" spans="1:12" x14ac:dyDescent="0.3">
      <c r="A510" s="6">
        <f ca="1">Table1[[#This Row],[Date]]*1</f>
        <v>45557</v>
      </c>
      <c r="B510" t="s">
        <v>45</v>
      </c>
      <c r="C510" t="s">
        <v>6</v>
      </c>
      <c r="D510" t="s">
        <v>17</v>
      </c>
      <c r="E510" t="s">
        <v>35</v>
      </c>
      <c r="F510" t="s">
        <v>29</v>
      </c>
      <c r="G510" s="2">
        <v>32</v>
      </c>
      <c r="H510" s="2">
        <v>847.82</v>
      </c>
      <c r="I510" s="2">
        <v>1138.31</v>
      </c>
      <c r="J510" s="2">
        <v>27130.240000000002</v>
      </c>
      <c r="K510" s="2">
        <v>36425.919999999998</v>
      </c>
      <c r="L510" s="2">
        <v>9295.68</v>
      </c>
    </row>
    <row r="511" spans="1:12" x14ac:dyDescent="0.3">
      <c r="A511" s="6">
        <f ca="1">Table1[[#This Row],[Date]]*1</f>
        <v>45366</v>
      </c>
      <c r="B511" t="s">
        <v>39</v>
      </c>
      <c r="C511" t="s">
        <v>11</v>
      </c>
      <c r="D511" t="s">
        <v>12</v>
      </c>
      <c r="E511" t="s">
        <v>35</v>
      </c>
      <c r="F511" t="s">
        <v>29</v>
      </c>
      <c r="G511" s="2">
        <v>42</v>
      </c>
      <c r="H511" s="2">
        <v>55.41</v>
      </c>
      <c r="I511" s="2">
        <v>62.44</v>
      </c>
      <c r="J511" s="2">
        <v>2327.2199999999998</v>
      </c>
      <c r="K511" s="2">
        <v>2622.48</v>
      </c>
      <c r="L511" s="2">
        <v>295.26</v>
      </c>
    </row>
    <row r="512" spans="1:12" x14ac:dyDescent="0.3">
      <c r="A512" s="6">
        <f ca="1">Table1[[#This Row],[Date]]*1</f>
        <v>45315</v>
      </c>
      <c r="B512" t="s">
        <v>30</v>
      </c>
      <c r="C512" t="s">
        <v>6</v>
      </c>
      <c r="D512" t="s">
        <v>17</v>
      </c>
      <c r="E512" t="s">
        <v>4</v>
      </c>
      <c r="F512" t="s">
        <v>29</v>
      </c>
      <c r="G512" s="2">
        <v>18</v>
      </c>
      <c r="H512" s="2">
        <v>98.57</v>
      </c>
      <c r="I512" s="2">
        <v>117.37</v>
      </c>
      <c r="J512" s="2">
        <v>1774.26</v>
      </c>
      <c r="K512" s="2">
        <v>2112.66</v>
      </c>
      <c r="L512" s="2">
        <v>338.4</v>
      </c>
    </row>
    <row r="513" spans="1:12" x14ac:dyDescent="0.3">
      <c r="A513" s="6">
        <f ca="1">Table1[[#This Row],[Date]]*1</f>
        <v>45449</v>
      </c>
      <c r="B513" t="s">
        <v>45</v>
      </c>
      <c r="C513" t="s">
        <v>6</v>
      </c>
      <c r="D513" t="s">
        <v>7</v>
      </c>
      <c r="E513" t="s">
        <v>35</v>
      </c>
      <c r="F513" t="s">
        <v>29</v>
      </c>
      <c r="G513" s="2">
        <v>25</v>
      </c>
      <c r="H513" s="2">
        <v>94.83</v>
      </c>
      <c r="I513" s="2">
        <v>133.91</v>
      </c>
      <c r="J513" s="2">
        <v>2370.75</v>
      </c>
      <c r="K513" s="2">
        <v>3347.75</v>
      </c>
      <c r="L513" s="2">
        <v>977</v>
      </c>
    </row>
    <row r="514" spans="1:12" x14ac:dyDescent="0.3">
      <c r="A514" s="6">
        <f ca="1">Table1[[#This Row],[Date]]*1</f>
        <v>45531</v>
      </c>
      <c r="B514" t="s">
        <v>36</v>
      </c>
      <c r="C514" t="s">
        <v>8</v>
      </c>
      <c r="D514" t="s">
        <v>42</v>
      </c>
      <c r="E514" t="s">
        <v>31</v>
      </c>
      <c r="F514" t="s">
        <v>32</v>
      </c>
      <c r="G514" s="2">
        <v>39</v>
      </c>
      <c r="H514" s="2">
        <v>777.88</v>
      </c>
      <c r="I514" s="2">
        <v>935.1</v>
      </c>
      <c r="J514" s="2">
        <v>30337.32</v>
      </c>
      <c r="K514" s="2">
        <v>36468.9</v>
      </c>
      <c r="L514" s="2">
        <v>6131.58</v>
      </c>
    </row>
    <row r="515" spans="1:12" x14ac:dyDescent="0.3">
      <c r="A515" s="6">
        <f ca="1">Table1[[#This Row],[Date]]*1</f>
        <v>45510</v>
      </c>
      <c r="B515" t="s">
        <v>28</v>
      </c>
      <c r="C515" t="s">
        <v>2</v>
      </c>
      <c r="D515" t="s">
        <v>3</v>
      </c>
      <c r="E515" t="s">
        <v>4</v>
      </c>
      <c r="F515" t="s">
        <v>29</v>
      </c>
      <c r="G515" s="2">
        <v>27</v>
      </c>
      <c r="H515" s="2">
        <v>233.09</v>
      </c>
      <c r="I515" s="2">
        <v>281.62</v>
      </c>
      <c r="J515" s="2">
        <v>6293.43</v>
      </c>
      <c r="K515" s="2">
        <v>7603.74</v>
      </c>
      <c r="L515" s="2">
        <v>1310.31</v>
      </c>
    </row>
    <row r="516" spans="1:12" x14ac:dyDescent="0.3">
      <c r="A516" s="6">
        <f ca="1">Table1[[#This Row],[Date]]*1</f>
        <v>45612</v>
      </c>
      <c r="B516" t="s">
        <v>28</v>
      </c>
      <c r="C516" t="s">
        <v>11</v>
      </c>
      <c r="D516" t="s">
        <v>13</v>
      </c>
      <c r="E516" t="s">
        <v>31</v>
      </c>
      <c r="F516" t="s">
        <v>32</v>
      </c>
      <c r="G516" s="2">
        <v>15</v>
      </c>
      <c r="H516" s="2">
        <v>388.5</v>
      </c>
      <c r="I516" s="2">
        <v>565.84</v>
      </c>
      <c r="J516" s="2">
        <v>5827.5</v>
      </c>
      <c r="K516" s="2">
        <v>8487.6</v>
      </c>
      <c r="L516" s="2">
        <v>2660.1</v>
      </c>
    </row>
    <row r="517" spans="1:12" x14ac:dyDescent="0.3">
      <c r="A517" s="6">
        <f ca="1">Table1[[#This Row],[Date]]*1</f>
        <v>45474</v>
      </c>
      <c r="B517" t="s">
        <v>36</v>
      </c>
      <c r="C517" t="s">
        <v>8</v>
      </c>
      <c r="D517" t="s">
        <v>9</v>
      </c>
      <c r="E517" t="s">
        <v>33</v>
      </c>
      <c r="F517" t="s">
        <v>29</v>
      </c>
      <c r="G517" s="2">
        <v>44</v>
      </c>
      <c r="H517" s="2">
        <v>706.17</v>
      </c>
      <c r="I517" s="2">
        <v>784.77</v>
      </c>
      <c r="J517" s="2">
        <v>31071.48</v>
      </c>
      <c r="K517" s="2">
        <v>34529.879999999997</v>
      </c>
      <c r="L517" s="2">
        <v>3458.4</v>
      </c>
    </row>
    <row r="518" spans="1:12" x14ac:dyDescent="0.3">
      <c r="A518" s="6">
        <f ca="1">Table1[[#This Row],[Date]]*1</f>
        <v>45531</v>
      </c>
      <c r="B518" t="s">
        <v>45</v>
      </c>
      <c r="C518" t="s">
        <v>11</v>
      </c>
      <c r="D518" t="s">
        <v>13</v>
      </c>
      <c r="E518" t="s">
        <v>31</v>
      </c>
      <c r="F518" t="s">
        <v>29</v>
      </c>
      <c r="G518" s="2">
        <v>6</v>
      </c>
      <c r="H518" s="2">
        <v>715.1</v>
      </c>
      <c r="I518" s="2">
        <v>828.94</v>
      </c>
      <c r="J518" s="2">
        <v>4290.6000000000004</v>
      </c>
      <c r="K518" s="2">
        <v>4973.6400000000003</v>
      </c>
      <c r="L518" s="2">
        <v>683.04</v>
      </c>
    </row>
    <row r="519" spans="1:12" x14ac:dyDescent="0.3">
      <c r="A519" s="6">
        <f ca="1">Table1[[#This Row],[Date]]*1</f>
        <v>45339</v>
      </c>
      <c r="B519" t="s">
        <v>45</v>
      </c>
      <c r="C519" t="s">
        <v>6</v>
      </c>
      <c r="D519" t="s">
        <v>10</v>
      </c>
      <c r="E519" t="s">
        <v>43</v>
      </c>
      <c r="F519" t="s">
        <v>29</v>
      </c>
      <c r="G519" s="2">
        <v>40</v>
      </c>
      <c r="H519" s="2">
        <v>154.86000000000001</v>
      </c>
      <c r="I519" s="2">
        <v>185.9</v>
      </c>
      <c r="J519" s="2">
        <v>6194.4</v>
      </c>
      <c r="K519" s="2">
        <v>7436</v>
      </c>
      <c r="L519" s="2">
        <v>1241.5999999999999</v>
      </c>
    </row>
    <row r="520" spans="1:12" x14ac:dyDescent="0.3">
      <c r="A520" s="6">
        <f ca="1">Table1[[#This Row],[Date]]*1</f>
        <v>45635</v>
      </c>
      <c r="B520" t="s">
        <v>45</v>
      </c>
      <c r="C520" t="s">
        <v>2</v>
      </c>
      <c r="D520" t="s">
        <v>3</v>
      </c>
      <c r="E520" t="s">
        <v>43</v>
      </c>
      <c r="F520" t="s">
        <v>29</v>
      </c>
      <c r="G520" s="2">
        <v>12</v>
      </c>
      <c r="H520" s="2">
        <v>609.22</v>
      </c>
      <c r="I520" s="2">
        <v>766.69</v>
      </c>
      <c r="J520" s="2">
        <v>7310.64</v>
      </c>
      <c r="K520" s="2">
        <v>9200.2800000000007</v>
      </c>
      <c r="L520" s="2">
        <v>1889.64</v>
      </c>
    </row>
    <row r="521" spans="1:12" x14ac:dyDescent="0.3">
      <c r="A521" s="6">
        <f ca="1">Table1[[#This Row],[Date]]*1</f>
        <v>45449</v>
      </c>
      <c r="B521" t="s">
        <v>44</v>
      </c>
      <c r="C521" t="s">
        <v>11</v>
      </c>
      <c r="D521" t="s">
        <v>15</v>
      </c>
      <c r="E521" t="s">
        <v>4</v>
      </c>
      <c r="F521" t="s">
        <v>32</v>
      </c>
      <c r="G521" s="2">
        <v>2</v>
      </c>
      <c r="H521" s="2">
        <v>982.63</v>
      </c>
      <c r="I521" s="2">
        <v>1406.19</v>
      </c>
      <c r="J521" s="2">
        <v>1965.26</v>
      </c>
      <c r="K521" s="2">
        <v>2812.38</v>
      </c>
      <c r="L521" s="2">
        <v>847.12</v>
      </c>
    </row>
    <row r="522" spans="1:12" x14ac:dyDescent="0.3">
      <c r="A522" s="6">
        <f ca="1">Table1[[#This Row],[Date]]*1</f>
        <v>45622</v>
      </c>
      <c r="B522" t="s">
        <v>44</v>
      </c>
      <c r="C522" t="s">
        <v>11</v>
      </c>
      <c r="D522" t="s">
        <v>12</v>
      </c>
      <c r="E522" t="s">
        <v>31</v>
      </c>
      <c r="F522" t="s">
        <v>32</v>
      </c>
      <c r="G522" s="2">
        <v>42</v>
      </c>
      <c r="H522" s="2">
        <v>384.08</v>
      </c>
      <c r="I522" s="2">
        <v>554.23</v>
      </c>
      <c r="J522" s="2">
        <v>16131.36</v>
      </c>
      <c r="K522" s="2">
        <v>23277.66</v>
      </c>
      <c r="L522" s="2">
        <v>7146.3</v>
      </c>
    </row>
    <row r="523" spans="1:12" x14ac:dyDescent="0.3">
      <c r="A523" s="6">
        <f ca="1">Table1[[#This Row],[Date]]*1</f>
        <v>45297</v>
      </c>
      <c r="B523" t="s">
        <v>44</v>
      </c>
      <c r="C523" t="s">
        <v>11</v>
      </c>
      <c r="D523" t="s">
        <v>13</v>
      </c>
      <c r="E523" t="s">
        <v>35</v>
      </c>
      <c r="F523" t="s">
        <v>29</v>
      </c>
      <c r="G523" s="2">
        <v>47</v>
      </c>
      <c r="H523" s="2">
        <v>772.61</v>
      </c>
      <c r="I523" s="2">
        <v>1097.47</v>
      </c>
      <c r="J523" s="2">
        <v>36312.67</v>
      </c>
      <c r="K523" s="2">
        <v>51581.09</v>
      </c>
      <c r="L523" s="2">
        <v>15268.42</v>
      </c>
    </row>
    <row r="524" spans="1:12" x14ac:dyDescent="0.3">
      <c r="A524" s="6">
        <f ca="1">Table1[[#This Row],[Date]]*1</f>
        <v>45425</v>
      </c>
      <c r="B524" t="s">
        <v>41</v>
      </c>
      <c r="C524" t="s">
        <v>2</v>
      </c>
      <c r="D524" t="s">
        <v>3</v>
      </c>
      <c r="E524" t="s">
        <v>4</v>
      </c>
      <c r="F524" t="s">
        <v>29</v>
      </c>
      <c r="G524" s="2">
        <v>21</v>
      </c>
      <c r="H524" s="2">
        <v>205.36</v>
      </c>
      <c r="I524" s="2">
        <v>241.06</v>
      </c>
      <c r="J524" s="2">
        <v>4312.5600000000004</v>
      </c>
      <c r="K524" s="2">
        <v>5062.26</v>
      </c>
      <c r="L524" s="2">
        <v>749.7</v>
      </c>
    </row>
    <row r="525" spans="1:12" x14ac:dyDescent="0.3">
      <c r="A525" s="6">
        <f ca="1">Table1[[#This Row],[Date]]*1</f>
        <v>45656</v>
      </c>
      <c r="B525" t="s">
        <v>36</v>
      </c>
      <c r="C525" t="s">
        <v>8</v>
      </c>
      <c r="D525" t="s">
        <v>42</v>
      </c>
      <c r="E525" t="s">
        <v>33</v>
      </c>
      <c r="F525" t="s">
        <v>29</v>
      </c>
      <c r="G525" s="2">
        <v>8</v>
      </c>
      <c r="H525" s="2">
        <v>361.08</v>
      </c>
      <c r="I525" s="2">
        <v>516.52</v>
      </c>
      <c r="J525" s="2">
        <v>2888.64</v>
      </c>
      <c r="K525" s="2">
        <v>4132.16</v>
      </c>
      <c r="L525" s="2">
        <v>1243.52</v>
      </c>
    </row>
    <row r="526" spans="1:12" x14ac:dyDescent="0.3">
      <c r="A526" s="6">
        <f ca="1">Table1[[#This Row],[Date]]*1</f>
        <v>45316</v>
      </c>
      <c r="B526" t="s">
        <v>41</v>
      </c>
      <c r="C526" t="s">
        <v>11</v>
      </c>
      <c r="D526" t="s">
        <v>12</v>
      </c>
      <c r="E526" t="s">
        <v>35</v>
      </c>
      <c r="F526" t="s">
        <v>32</v>
      </c>
      <c r="G526" s="2">
        <v>2</v>
      </c>
      <c r="H526" s="2">
        <v>970.5</v>
      </c>
      <c r="I526" s="2">
        <v>1338.86</v>
      </c>
      <c r="J526" s="2">
        <v>1941</v>
      </c>
      <c r="K526" s="2">
        <v>2677.72</v>
      </c>
      <c r="L526" s="2">
        <v>736.72</v>
      </c>
    </row>
    <row r="527" spans="1:12" x14ac:dyDescent="0.3">
      <c r="A527" s="6">
        <f ca="1">Table1[[#This Row],[Date]]*1</f>
        <v>45328</v>
      </c>
      <c r="B527" t="s">
        <v>34</v>
      </c>
      <c r="C527" t="s">
        <v>8</v>
      </c>
      <c r="D527" t="s">
        <v>9</v>
      </c>
      <c r="E527" t="s">
        <v>43</v>
      </c>
      <c r="F527" t="s">
        <v>29</v>
      </c>
      <c r="G527" s="2">
        <v>44</v>
      </c>
      <c r="H527" s="2">
        <v>294.54000000000002</v>
      </c>
      <c r="I527" s="2">
        <v>343.4</v>
      </c>
      <c r="J527" s="2">
        <v>12959.76</v>
      </c>
      <c r="K527" s="2">
        <v>15109.6</v>
      </c>
      <c r="L527" s="2">
        <v>2149.84</v>
      </c>
    </row>
    <row r="528" spans="1:12" x14ac:dyDescent="0.3">
      <c r="A528" s="6">
        <f ca="1">Table1[[#This Row],[Date]]*1</f>
        <v>45451</v>
      </c>
      <c r="B528" t="s">
        <v>39</v>
      </c>
      <c r="C528" t="s">
        <v>2</v>
      </c>
      <c r="D528" t="s">
        <v>5</v>
      </c>
      <c r="E528" t="s">
        <v>4</v>
      </c>
      <c r="F528" t="s">
        <v>32</v>
      </c>
      <c r="G528" s="2">
        <v>11</v>
      </c>
      <c r="H528" s="2">
        <v>741.95</v>
      </c>
      <c r="I528" s="2">
        <v>1073.42</v>
      </c>
      <c r="J528" s="2">
        <v>8161.45</v>
      </c>
      <c r="K528" s="2">
        <v>11807.62</v>
      </c>
      <c r="L528" s="2">
        <v>3646.17</v>
      </c>
    </row>
    <row r="529" spans="1:12" x14ac:dyDescent="0.3">
      <c r="A529" s="6">
        <f ca="1">Table1[[#This Row],[Date]]*1</f>
        <v>45490</v>
      </c>
      <c r="B529" t="s">
        <v>28</v>
      </c>
      <c r="C529" t="s">
        <v>2</v>
      </c>
      <c r="D529" t="s">
        <v>14</v>
      </c>
      <c r="E529" t="s">
        <v>35</v>
      </c>
      <c r="F529" t="s">
        <v>29</v>
      </c>
      <c r="G529" s="2">
        <v>42</v>
      </c>
      <c r="H529" s="2">
        <v>247.6</v>
      </c>
      <c r="I529" s="2">
        <v>346.49</v>
      </c>
      <c r="J529" s="2">
        <v>10399.200000000001</v>
      </c>
      <c r="K529" s="2">
        <v>14552.58</v>
      </c>
      <c r="L529" s="2">
        <v>4153.38</v>
      </c>
    </row>
    <row r="530" spans="1:12" x14ac:dyDescent="0.3">
      <c r="A530" s="6">
        <f ca="1">Table1[[#This Row],[Date]]*1</f>
        <v>45653</v>
      </c>
      <c r="B530" t="s">
        <v>36</v>
      </c>
      <c r="C530" t="s">
        <v>8</v>
      </c>
      <c r="D530" t="s">
        <v>16</v>
      </c>
      <c r="E530" t="s">
        <v>4</v>
      </c>
      <c r="F530" t="s">
        <v>29</v>
      </c>
      <c r="G530" s="2">
        <v>25</v>
      </c>
      <c r="H530" s="2">
        <v>880.54</v>
      </c>
      <c r="I530" s="2">
        <v>1114.76</v>
      </c>
      <c r="J530" s="2">
        <v>22013.5</v>
      </c>
      <c r="K530" s="2">
        <v>27869</v>
      </c>
      <c r="L530" s="2">
        <v>5855.5</v>
      </c>
    </row>
    <row r="531" spans="1:12" x14ac:dyDescent="0.3">
      <c r="A531" s="6">
        <f ca="1">Table1[[#This Row],[Date]]*1</f>
        <v>45643</v>
      </c>
      <c r="B531" t="s">
        <v>34</v>
      </c>
      <c r="C531" t="s">
        <v>8</v>
      </c>
      <c r="D531" t="s">
        <v>9</v>
      </c>
      <c r="E531" t="s">
        <v>4</v>
      </c>
      <c r="F531" t="s">
        <v>29</v>
      </c>
      <c r="G531" s="2">
        <v>47</v>
      </c>
      <c r="H531" s="2">
        <v>638.01</v>
      </c>
      <c r="I531" s="2">
        <v>816.25</v>
      </c>
      <c r="J531" s="2">
        <v>29986.47</v>
      </c>
      <c r="K531" s="2">
        <v>38363.75</v>
      </c>
      <c r="L531" s="2">
        <v>8377.2800000000007</v>
      </c>
    </row>
    <row r="532" spans="1:12" x14ac:dyDescent="0.3">
      <c r="A532" s="6">
        <f ca="1">Table1[[#This Row],[Date]]*1</f>
        <v>45599</v>
      </c>
      <c r="B532" t="s">
        <v>39</v>
      </c>
      <c r="C532" t="s">
        <v>8</v>
      </c>
      <c r="D532" t="s">
        <v>42</v>
      </c>
      <c r="E532" t="s">
        <v>31</v>
      </c>
      <c r="F532" t="s">
        <v>29</v>
      </c>
      <c r="G532" s="2">
        <v>31</v>
      </c>
      <c r="H532" s="2">
        <v>420.29</v>
      </c>
      <c r="I532" s="2">
        <v>494.1</v>
      </c>
      <c r="J532" s="2">
        <v>13028.99</v>
      </c>
      <c r="K532" s="2">
        <v>15317.1</v>
      </c>
      <c r="L532" s="2">
        <v>2288.11</v>
      </c>
    </row>
    <row r="533" spans="1:12" x14ac:dyDescent="0.3">
      <c r="A533" s="6">
        <f ca="1">Table1[[#This Row],[Date]]*1</f>
        <v>45465</v>
      </c>
      <c r="B533" t="s">
        <v>37</v>
      </c>
      <c r="C533" t="s">
        <v>6</v>
      </c>
      <c r="D533" t="s">
        <v>17</v>
      </c>
      <c r="E533" t="s">
        <v>33</v>
      </c>
      <c r="F533" t="s">
        <v>29</v>
      </c>
      <c r="G533" s="2">
        <v>38</v>
      </c>
      <c r="H533" s="2">
        <v>353.73</v>
      </c>
      <c r="I533" s="2">
        <v>470.02</v>
      </c>
      <c r="J533" s="2">
        <v>13441.74</v>
      </c>
      <c r="K533" s="2">
        <v>17860.759999999998</v>
      </c>
      <c r="L533" s="2">
        <v>4419.0200000000004</v>
      </c>
    </row>
    <row r="534" spans="1:12" x14ac:dyDescent="0.3">
      <c r="A534" s="6">
        <f ca="1">Table1[[#This Row],[Date]]*1</f>
        <v>45374</v>
      </c>
      <c r="B534" t="s">
        <v>30</v>
      </c>
      <c r="C534" t="s">
        <v>2</v>
      </c>
      <c r="D534" t="s">
        <v>14</v>
      </c>
      <c r="E534" t="s">
        <v>4</v>
      </c>
      <c r="F534" t="s">
        <v>32</v>
      </c>
      <c r="G534" s="2">
        <v>49</v>
      </c>
      <c r="H534" s="2">
        <v>613.79</v>
      </c>
      <c r="I534" s="2">
        <v>908.33</v>
      </c>
      <c r="J534" s="2">
        <v>30075.71</v>
      </c>
      <c r="K534" s="2">
        <v>44508.17</v>
      </c>
      <c r="L534" s="2">
        <v>14432.46</v>
      </c>
    </row>
    <row r="535" spans="1:12" x14ac:dyDescent="0.3">
      <c r="A535" s="6">
        <f ca="1">Table1[[#This Row],[Date]]*1</f>
        <v>45444</v>
      </c>
      <c r="B535" t="s">
        <v>36</v>
      </c>
      <c r="C535" t="s">
        <v>8</v>
      </c>
      <c r="D535" t="s">
        <v>42</v>
      </c>
      <c r="E535" t="s">
        <v>33</v>
      </c>
      <c r="F535" t="s">
        <v>32</v>
      </c>
      <c r="G535" s="2">
        <v>8</v>
      </c>
      <c r="H535" s="2">
        <v>171.34</v>
      </c>
      <c r="I535" s="2">
        <v>252.4</v>
      </c>
      <c r="J535" s="2">
        <v>1370.72</v>
      </c>
      <c r="K535" s="2">
        <v>2019.2</v>
      </c>
      <c r="L535" s="2">
        <v>648.48</v>
      </c>
    </row>
    <row r="536" spans="1:12" x14ac:dyDescent="0.3">
      <c r="A536" s="6">
        <f ca="1">Table1[[#This Row],[Date]]*1</f>
        <v>45434</v>
      </c>
      <c r="B536" t="s">
        <v>45</v>
      </c>
      <c r="C536" t="s">
        <v>8</v>
      </c>
      <c r="D536" t="s">
        <v>42</v>
      </c>
      <c r="E536" t="s">
        <v>43</v>
      </c>
      <c r="F536" t="s">
        <v>32</v>
      </c>
      <c r="G536" s="2">
        <v>2</v>
      </c>
      <c r="H536" s="2">
        <v>941.27</v>
      </c>
      <c r="I536" s="2">
        <v>1409.58</v>
      </c>
      <c r="J536" s="2">
        <v>1882.54</v>
      </c>
      <c r="K536" s="2">
        <v>2819.16</v>
      </c>
      <c r="L536" s="2">
        <v>936.62</v>
      </c>
    </row>
    <row r="537" spans="1:12" x14ac:dyDescent="0.3">
      <c r="A537" s="6">
        <f ca="1">Table1[[#This Row],[Date]]*1</f>
        <v>45447</v>
      </c>
      <c r="B537" t="s">
        <v>34</v>
      </c>
      <c r="C537" t="s">
        <v>11</v>
      </c>
      <c r="D537" t="s">
        <v>12</v>
      </c>
      <c r="E537" t="s">
        <v>31</v>
      </c>
      <c r="F537" t="s">
        <v>29</v>
      </c>
      <c r="G537" s="2">
        <v>44</v>
      </c>
      <c r="H537" s="2">
        <v>112.9</v>
      </c>
      <c r="I537" s="2">
        <v>157.27000000000001</v>
      </c>
      <c r="J537" s="2">
        <v>4967.6000000000004</v>
      </c>
      <c r="K537" s="2">
        <v>6919.88</v>
      </c>
      <c r="L537" s="2">
        <v>1952.28</v>
      </c>
    </row>
    <row r="538" spans="1:12" x14ac:dyDescent="0.3">
      <c r="A538" s="6">
        <f ca="1">Table1[[#This Row],[Date]]*1</f>
        <v>45521</v>
      </c>
      <c r="B538" t="s">
        <v>30</v>
      </c>
      <c r="C538" t="s">
        <v>2</v>
      </c>
      <c r="D538" t="s">
        <v>3</v>
      </c>
      <c r="E538" t="s">
        <v>33</v>
      </c>
      <c r="F538" t="s">
        <v>32</v>
      </c>
      <c r="G538" s="2">
        <v>40</v>
      </c>
      <c r="H538" s="2">
        <v>964.57</v>
      </c>
      <c r="I538" s="2">
        <v>1439.89</v>
      </c>
      <c r="J538" s="2">
        <v>38582.800000000003</v>
      </c>
      <c r="K538" s="2">
        <v>57595.6</v>
      </c>
      <c r="L538" s="2">
        <v>19012.8</v>
      </c>
    </row>
    <row r="539" spans="1:12" x14ac:dyDescent="0.3">
      <c r="A539" s="6">
        <f ca="1">Table1[[#This Row],[Date]]*1</f>
        <v>45622</v>
      </c>
      <c r="B539" t="s">
        <v>37</v>
      </c>
      <c r="C539" t="s">
        <v>8</v>
      </c>
      <c r="D539" t="s">
        <v>9</v>
      </c>
      <c r="E539" t="s">
        <v>4</v>
      </c>
      <c r="F539" t="s">
        <v>29</v>
      </c>
      <c r="G539" s="2">
        <v>1</v>
      </c>
      <c r="H539" s="2">
        <v>213.05</v>
      </c>
      <c r="I539" s="2">
        <v>291.5</v>
      </c>
      <c r="J539" s="2">
        <v>213.05</v>
      </c>
      <c r="K539" s="2">
        <v>291.5</v>
      </c>
      <c r="L539" s="2">
        <v>78.45</v>
      </c>
    </row>
    <row r="540" spans="1:12" x14ac:dyDescent="0.3">
      <c r="A540" s="6">
        <f ca="1">Table1[[#This Row],[Date]]*1</f>
        <v>45482</v>
      </c>
      <c r="B540" t="s">
        <v>36</v>
      </c>
      <c r="C540" t="s">
        <v>8</v>
      </c>
      <c r="D540" t="s">
        <v>42</v>
      </c>
      <c r="E540" t="s">
        <v>40</v>
      </c>
      <c r="F540" t="s">
        <v>32</v>
      </c>
      <c r="G540" s="2">
        <v>11</v>
      </c>
      <c r="H540" s="2">
        <v>107.18</v>
      </c>
      <c r="I540" s="2">
        <v>146.97</v>
      </c>
      <c r="J540" s="2">
        <v>1178.98</v>
      </c>
      <c r="K540" s="2">
        <v>1616.67</v>
      </c>
      <c r="L540" s="2">
        <v>437.69</v>
      </c>
    </row>
    <row r="541" spans="1:12" x14ac:dyDescent="0.3">
      <c r="A541" s="6">
        <f ca="1">Table1[[#This Row],[Date]]*1</f>
        <v>45389</v>
      </c>
      <c r="B541" t="s">
        <v>38</v>
      </c>
      <c r="C541" t="s">
        <v>2</v>
      </c>
      <c r="D541" t="s">
        <v>5</v>
      </c>
      <c r="E541" t="s">
        <v>31</v>
      </c>
      <c r="F541" t="s">
        <v>29</v>
      </c>
      <c r="G541" s="2">
        <v>7</v>
      </c>
      <c r="H541" s="2">
        <v>767.88</v>
      </c>
      <c r="I541" s="2">
        <v>872.56</v>
      </c>
      <c r="J541" s="2">
        <v>5375.16</v>
      </c>
      <c r="K541" s="2">
        <v>6107.92</v>
      </c>
      <c r="L541" s="2">
        <v>732.76</v>
      </c>
    </row>
    <row r="542" spans="1:12" x14ac:dyDescent="0.3">
      <c r="A542" s="6">
        <f ca="1">Table1[[#This Row],[Date]]*1</f>
        <v>45418</v>
      </c>
      <c r="B542" t="s">
        <v>36</v>
      </c>
      <c r="C542" t="s">
        <v>6</v>
      </c>
      <c r="D542" t="s">
        <v>7</v>
      </c>
      <c r="E542" t="s">
        <v>40</v>
      </c>
      <c r="F542" t="s">
        <v>32</v>
      </c>
      <c r="G542" s="2">
        <v>10</v>
      </c>
      <c r="H542" s="2">
        <v>97.1</v>
      </c>
      <c r="I542" s="2">
        <v>113.87</v>
      </c>
      <c r="J542" s="2">
        <v>971</v>
      </c>
      <c r="K542" s="2">
        <v>1138.7</v>
      </c>
      <c r="L542" s="2">
        <v>167.7</v>
      </c>
    </row>
    <row r="543" spans="1:12" x14ac:dyDescent="0.3">
      <c r="A543" s="6">
        <f ca="1">Table1[[#This Row],[Date]]*1</f>
        <v>45293</v>
      </c>
      <c r="B543" t="s">
        <v>44</v>
      </c>
      <c r="C543" t="s">
        <v>6</v>
      </c>
      <c r="D543" t="s">
        <v>10</v>
      </c>
      <c r="E543" t="s">
        <v>33</v>
      </c>
      <c r="F543" t="s">
        <v>32</v>
      </c>
      <c r="G543" s="2">
        <v>5</v>
      </c>
      <c r="H543" s="2">
        <v>749.98</v>
      </c>
      <c r="I543" s="2">
        <v>962.98</v>
      </c>
      <c r="J543" s="2">
        <v>3749.9</v>
      </c>
      <c r="K543" s="2">
        <v>4814.8999999999996</v>
      </c>
      <c r="L543" s="2">
        <v>1065</v>
      </c>
    </row>
    <row r="544" spans="1:12" x14ac:dyDescent="0.3">
      <c r="A544" s="6">
        <f ca="1">Table1[[#This Row],[Date]]*1</f>
        <v>45367</v>
      </c>
      <c r="B544" t="s">
        <v>37</v>
      </c>
      <c r="C544" t="s">
        <v>11</v>
      </c>
      <c r="D544" t="s">
        <v>12</v>
      </c>
      <c r="E544" t="s">
        <v>4</v>
      </c>
      <c r="F544" t="s">
        <v>32</v>
      </c>
      <c r="G544" s="2">
        <v>45</v>
      </c>
      <c r="H544" s="2">
        <v>697.75</v>
      </c>
      <c r="I544" s="2">
        <v>779.74</v>
      </c>
      <c r="J544" s="2">
        <v>31398.75</v>
      </c>
      <c r="K544" s="2">
        <v>35088.300000000003</v>
      </c>
      <c r="L544" s="2">
        <v>3689.55</v>
      </c>
    </row>
    <row r="545" spans="1:12" x14ac:dyDescent="0.3">
      <c r="A545" s="6">
        <f ca="1">Table1[[#This Row],[Date]]*1</f>
        <v>45313</v>
      </c>
      <c r="B545" t="s">
        <v>41</v>
      </c>
      <c r="C545" t="s">
        <v>2</v>
      </c>
      <c r="D545" t="s">
        <v>14</v>
      </c>
      <c r="E545" t="s">
        <v>40</v>
      </c>
      <c r="F545" t="s">
        <v>32</v>
      </c>
      <c r="G545" s="2">
        <v>5</v>
      </c>
      <c r="H545" s="2">
        <v>463.64</v>
      </c>
      <c r="I545" s="2">
        <v>632.03</v>
      </c>
      <c r="J545" s="2">
        <v>2318.1999999999998</v>
      </c>
      <c r="K545" s="2">
        <v>3160.15</v>
      </c>
      <c r="L545" s="2">
        <v>841.95</v>
      </c>
    </row>
    <row r="546" spans="1:12" x14ac:dyDescent="0.3">
      <c r="A546" s="6">
        <f ca="1">Table1[[#This Row],[Date]]*1</f>
        <v>45313</v>
      </c>
      <c r="B546" t="s">
        <v>44</v>
      </c>
      <c r="C546" t="s">
        <v>2</v>
      </c>
      <c r="D546" t="s">
        <v>14</v>
      </c>
      <c r="E546" t="s">
        <v>40</v>
      </c>
      <c r="F546" t="s">
        <v>29</v>
      </c>
      <c r="G546" s="2">
        <v>28</v>
      </c>
      <c r="H546" s="2">
        <v>548.98</v>
      </c>
      <c r="I546" s="2">
        <v>780.72</v>
      </c>
      <c r="J546" s="2">
        <v>15371.44</v>
      </c>
      <c r="K546" s="2">
        <v>21860.16</v>
      </c>
      <c r="L546" s="2">
        <v>6488.72</v>
      </c>
    </row>
    <row r="547" spans="1:12" x14ac:dyDescent="0.3">
      <c r="A547" s="6">
        <f ca="1">Table1[[#This Row],[Date]]*1</f>
        <v>45504</v>
      </c>
      <c r="B547" t="s">
        <v>28</v>
      </c>
      <c r="C547" t="s">
        <v>2</v>
      </c>
      <c r="D547" t="s">
        <v>3</v>
      </c>
      <c r="E547" t="s">
        <v>4</v>
      </c>
      <c r="F547" t="s">
        <v>29</v>
      </c>
      <c r="G547" s="2">
        <v>37</v>
      </c>
      <c r="H547" s="2">
        <v>576.92999999999995</v>
      </c>
      <c r="I547" s="2">
        <v>769.79</v>
      </c>
      <c r="J547" s="2">
        <v>21346.41</v>
      </c>
      <c r="K547" s="2">
        <v>28482.23</v>
      </c>
      <c r="L547" s="2">
        <v>7135.82</v>
      </c>
    </row>
    <row r="548" spans="1:12" x14ac:dyDescent="0.3">
      <c r="A548" s="6">
        <f ca="1">Table1[[#This Row],[Date]]*1</f>
        <v>45606</v>
      </c>
      <c r="B548" t="s">
        <v>34</v>
      </c>
      <c r="C548" t="s">
        <v>6</v>
      </c>
      <c r="D548" t="s">
        <v>17</v>
      </c>
      <c r="E548" t="s">
        <v>31</v>
      </c>
      <c r="F548" t="s">
        <v>32</v>
      </c>
      <c r="G548" s="2">
        <v>29</v>
      </c>
      <c r="H548" s="2">
        <v>200.96</v>
      </c>
      <c r="I548" s="2">
        <v>292.58</v>
      </c>
      <c r="J548" s="2">
        <v>5827.84</v>
      </c>
      <c r="K548" s="2">
        <v>8484.82</v>
      </c>
      <c r="L548" s="2">
        <v>2656.98</v>
      </c>
    </row>
    <row r="549" spans="1:12" x14ac:dyDescent="0.3">
      <c r="A549" s="6">
        <f ca="1">Table1[[#This Row],[Date]]*1</f>
        <v>45551</v>
      </c>
      <c r="B549" t="s">
        <v>38</v>
      </c>
      <c r="C549" t="s">
        <v>8</v>
      </c>
      <c r="D549" t="s">
        <v>16</v>
      </c>
      <c r="E549" t="s">
        <v>33</v>
      </c>
      <c r="F549" t="s">
        <v>32</v>
      </c>
      <c r="G549" s="2">
        <v>49</v>
      </c>
      <c r="H549" s="2">
        <v>226.13</v>
      </c>
      <c r="I549" s="2">
        <v>265.8</v>
      </c>
      <c r="J549" s="2">
        <v>11080.37</v>
      </c>
      <c r="K549" s="2">
        <v>13024.2</v>
      </c>
      <c r="L549" s="2">
        <v>1943.83</v>
      </c>
    </row>
    <row r="550" spans="1:12" x14ac:dyDescent="0.3">
      <c r="A550" s="6">
        <f ca="1">Table1[[#This Row],[Date]]*1</f>
        <v>45380</v>
      </c>
      <c r="B550" t="s">
        <v>34</v>
      </c>
      <c r="C550" t="s">
        <v>6</v>
      </c>
      <c r="D550" t="s">
        <v>17</v>
      </c>
      <c r="E550" t="s">
        <v>35</v>
      </c>
      <c r="F550" t="s">
        <v>29</v>
      </c>
      <c r="G550" s="2">
        <v>15</v>
      </c>
      <c r="H550" s="2">
        <v>879.18</v>
      </c>
      <c r="I550" s="2">
        <v>1043.49</v>
      </c>
      <c r="J550" s="2">
        <v>13187.7</v>
      </c>
      <c r="K550" s="2">
        <v>15652.35</v>
      </c>
      <c r="L550" s="2">
        <v>2464.65</v>
      </c>
    </row>
    <row r="551" spans="1:12" x14ac:dyDescent="0.3">
      <c r="A551" s="6">
        <f ca="1">Table1[[#This Row],[Date]]*1</f>
        <v>45515</v>
      </c>
      <c r="B551" t="s">
        <v>37</v>
      </c>
      <c r="C551" t="s">
        <v>11</v>
      </c>
      <c r="D551" t="s">
        <v>15</v>
      </c>
      <c r="E551" t="s">
        <v>31</v>
      </c>
      <c r="F551" t="s">
        <v>32</v>
      </c>
      <c r="G551" s="2">
        <v>39</v>
      </c>
      <c r="H551" s="2">
        <v>396.73</v>
      </c>
      <c r="I551" s="2">
        <v>484.16</v>
      </c>
      <c r="J551" s="2">
        <v>15472.47</v>
      </c>
      <c r="K551" s="2">
        <v>18882.240000000002</v>
      </c>
      <c r="L551" s="2">
        <v>3409.77</v>
      </c>
    </row>
    <row r="552" spans="1:12" x14ac:dyDescent="0.3">
      <c r="A552" s="6">
        <f ca="1">Table1[[#This Row],[Date]]*1</f>
        <v>45573</v>
      </c>
      <c r="B552" t="s">
        <v>30</v>
      </c>
      <c r="C552" t="s">
        <v>8</v>
      </c>
      <c r="D552" t="s">
        <v>42</v>
      </c>
      <c r="E552" t="s">
        <v>33</v>
      </c>
      <c r="F552" t="s">
        <v>32</v>
      </c>
      <c r="G552" s="2">
        <v>23</v>
      </c>
      <c r="H552" s="2">
        <v>587.66999999999996</v>
      </c>
      <c r="I552" s="2">
        <v>778.05</v>
      </c>
      <c r="J552" s="2">
        <v>13516.41</v>
      </c>
      <c r="K552" s="2">
        <v>17895.150000000001</v>
      </c>
      <c r="L552" s="2">
        <v>4378.74</v>
      </c>
    </row>
    <row r="553" spans="1:12" x14ac:dyDescent="0.3">
      <c r="A553" s="6">
        <f ca="1">Table1[[#This Row],[Date]]*1</f>
        <v>45570</v>
      </c>
      <c r="B553" t="s">
        <v>39</v>
      </c>
      <c r="C553" t="s">
        <v>11</v>
      </c>
      <c r="D553" t="s">
        <v>15</v>
      </c>
      <c r="E553" t="s">
        <v>43</v>
      </c>
      <c r="F553" t="s">
        <v>32</v>
      </c>
      <c r="G553" s="2">
        <v>43</v>
      </c>
      <c r="H553" s="2">
        <v>818.18</v>
      </c>
      <c r="I553" s="2">
        <v>1121.48</v>
      </c>
      <c r="J553" s="2">
        <v>35181.74</v>
      </c>
      <c r="K553" s="2">
        <v>48223.64</v>
      </c>
      <c r="L553" s="2">
        <v>13041.9</v>
      </c>
    </row>
    <row r="554" spans="1:12" x14ac:dyDescent="0.3">
      <c r="A554" s="6">
        <f ca="1">Table1[[#This Row],[Date]]*1</f>
        <v>45576</v>
      </c>
      <c r="B554" t="s">
        <v>30</v>
      </c>
      <c r="C554" t="s">
        <v>8</v>
      </c>
      <c r="D554" t="s">
        <v>16</v>
      </c>
      <c r="E554" t="s">
        <v>31</v>
      </c>
      <c r="F554" t="s">
        <v>29</v>
      </c>
      <c r="G554" s="2">
        <v>24</v>
      </c>
      <c r="H554" s="2">
        <v>586.13</v>
      </c>
      <c r="I554" s="2">
        <v>795.53</v>
      </c>
      <c r="J554" s="2">
        <v>14067.12</v>
      </c>
      <c r="K554" s="2">
        <v>19092.72</v>
      </c>
      <c r="L554" s="2">
        <v>5025.6000000000004</v>
      </c>
    </row>
    <row r="555" spans="1:12" x14ac:dyDescent="0.3">
      <c r="A555" s="6">
        <f ca="1">Table1[[#This Row],[Date]]*1</f>
        <v>45597</v>
      </c>
      <c r="B555" t="s">
        <v>36</v>
      </c>
      <c r="C555" t="s">
        <v>6</v>
      </c>
      <c r="D555" t="s">
        <v>7</v>
      </c>
      <c r="E555" t="s">
        <v>31</v>
      </c>
      <c r="F555" t="s">
        <v>32</v>
      </c>
      <c r="G555" s="2">
        <v>7</v>
      </c>
      <c r="H555" s="2">
        <v>73.58</v>
      </c>
      <c r="I555" s="2">
        <v>87.83</v>
      </c>
      <c r="J555" s="2">
        <v>515.05999999999995</v>
      </c>
      <c r="K555" s="2">
        <v>614.80999999999995</v>
      </c>
      <c r="L555" s="2">
        <v>99.75</v>
      </c>
    </row>
    <row r="556" spans="1:12" x14ac:dyDescent="0.3">
      <c r="A556" s="6">
        <f ca="1">Table1[[#This Row],[Date]]*1</f>
        <v>45548</v>
      </c>
      <c r="B556" t="s">
        <v>30</v>
      </c>
      <c r="C556" t="s">
        <v>8</v>
      </c>
      <c r="D556" t="s">
        <v>42</v>
      </c>
      <c r="E556" t="s">
        <v>33</v>
      </c>
      <c r="F556" t="s">
        <v>29</v>
      </c>
      <c r="G556" s="2">
        <v>30</v>
      </c>
      <c r="H556" s="2">
        <v>818.46</v>
      </c>
      <c r="I556" s="2">
        <v>1128.58</v>
      </c>
      <c r="J556" s="2">
        <v>24553.8</v>
      </c>
      <c r="K556" s="2">
        <v>33857.4</v>
      </c>
      <c r="L556" s="2">
        <v>9303.6</v>
      </c>
    </row>
    <row r="557" spans="1:12" x14ac:dyDescent="0.3">
      <c r="A557" s="6">
        <f ca="1">Table1[[#This Row],[Date]]*1</f>
        <v>45395</v>
      </c>
      <c r="B557" t="s">
        <v>39</v>
      </c>
      <c r="C557" t="s">
        <v>8</v>
      </c>
      <c r="D557" t="s">
        <v>42</v>
      </c>
      <c r="E557" t="s">
        <v>33</v>
      </c>
      <c r="F557" t="s">
        <v>32</v>
      </c>
      <c r="G557" s="2">
        <v>21</v>
      </c>
      <c r="H557" s="2">
        <v>88.12</v>
      </c>
      <c r="I557" s="2">
        <v>119.6</v>
      </c>
      <c r="J557" s="2">
        <v>1850.52</v>
      </c>
      <c r="K557" s="2">
        <v>2511.6</v>
      </c>
      <c r="L557" s="2">
        <v>661.08</v>
      </c>
    </row>
    <row r="558" spans="1:12" x14ac:dyDescent="0.3">
      <c r="A558" s="6">
        <f ca="1">Table1[[#This Row],[Date]]*1</f>
        <v>45312</v>
      </c>
      <c r="B558" t="s">
        <v>37</v>
      </c>
      <c r="C558" t="s">
        <v>6</v>
      </c>
      <c r="D558" t="s">
        <v>7</v>
      </c>
      <c r="E558" t="s">
        <v>31</v>
      </c>
      <c r="F558" t="s">
        <v>32</v>
      </c>
      <c r="G558" s="2">
        <v>47</v>
      </c>
      <c r="H558" s="2">
        <v>495</v>
      </c>
      <c r="I558" s="2">
        <v>726.69</v>
      </c>
      <c r="J558" s="2">
        <v>23265</v>
      </c>
      <c r="K558" s="2">
        <v>34154.43</v>
      </c>
      <c r="L558" s="2">
        <v>10889.43</v>
      </c>
    </row>
    <row r="559" spans="1:12" x14ac:dyDescent="0.3">
      <c r="A559" s="6">
        <f ca="1">Table1[[#This Row],[Date]]*1</f>
        <v>45559</v>
      </c>
      <c r="B559" t="s">
        <v>28</v>
      </c>
      <c r="C559" t="s">
        <v>6</v>
      </c>
      <c r="D559" t="s">
        <v>10</v>
      </c>
      <c r="E559" t="s">
        <v>33</v>
      </c>
      <c r="F559" t="s">
        <v>32</v>
      </c>
      <c r="G559" s="2">
        <v>21</v>
      </c>
      <c r="H559" s="2">
        <v>365.32</v>
      </c>
      <c r="I559" s="2">
        <v>542.85</v>
      </c>
      <c r="J559" s="2">
        <v>7671.72</v>
      </c>
      <c r="K559" s="2">
        <v>11399.85</v>
      </c>
      <c r="L559" s="2">
        <v>3728.13</v>
      </c>
    </row>
    <row r="560" spans="1:12" x14ac:dyDescent="0.3">
      <c r="A560" s="6">
        <f ca="1">Table1[[#This Row],[Date]]*1</f>
        <v>45549</v>
      </c>
      <c r="B560" t="s">
        <v>39</v>
      </c>
      <c r="C560" t="s">
        <v>6</v>
      </c>
      <c r="D560" t="s">
        <v>7</v>
      </c>
      <c r="E560" t="s">
        <v>40</v>
      </c>
      <c r="F560" t="s">
        <v>29</v>
      </c>
      <c r="G560" s="2">
        <v>39</v>
      </c>
      <c r="H560" s="2">
        <v>206.52</v>
      </c>
      <c r="I560" s="2">
        <v>261.14</v>
      </c>
      <c r="J560" s="2">
        <v>8054.28</v>
      </c>
      <c r="K560" s="2">
        <v>10184.459999999999</v>
      </c>
      <c r="L560" s="2">
        <v>2130.1799999999998</v>
      </c>
    </row>
    <row r="561" spans="1:12" x14ac:dyDescent="0.3">
      <c r="A561" s="6">
        <f ca="1">Table1[[#This Row],[Date]]*1</f>
        <v>45362</v>
      </c>
      <c r="B561" t="s">
        <v>34</v>
      </c>
      <c r="C561" t="s">
        <v>2</v>
      </c>
      <c r="D561" t="s">
        <v>14</v>
      </c>
      <c r="E561" t="s">
        <v>40</v>
      </c>
      <c r="F561" t="s">
        <v>29</v>
      </c>
      <c r="G561" s="2">
        <v>45</v>
      </c>
      <c r="H561" s="2">
        <v>864.28</v>
      </c>
      <c r="I561" s="2">
        <v>1094.99</v>
      </c>
      <c r="J561" s="2">
        <v>38892.6</v>
      </c>
      <c r="K561" s="2">
        <v>49274.55</v>
      </c>
      <c r="L561" s="2">
        <v>10381.950000000001</v>
      </c>
    </row>
    <row r="562" spans="1:12" x14ac:dyDescent="0.3">
      <c r="A562" s="6">
        <f ca="1">Table1[[#This Row],[Date]]*1</f>
        <v>45331</v>
      </c>
      <c r="B562" t="s">
        <v>39</v>
      </c>
      <c r="C562" t="s">
        <v>2</v>
      </c>
      <c r="D562" t="s">
        <v>3</v>
      </c>
      <c r="E562" t="s">
        <v>33</v>
      </c>
      <c r="F562" t="s">
        <v>29</v>
      </c>
      <c r="G562" s="2">
        <v>38</v>
      </c>
      <c r="H562" s="2">
        <v>955.32</v>
      </c>
      <c r="I562" s="2">
        <v>1145.0899999999999</v>
      </c>
      <c r="J562" s="2">
        <v>36302.160000000003</v>
      </c>
      <c r="K562" s="2">
        <v>43513.42</v>
      </c>
      <c r="L562" s="2">
        <v>7211.26</v>
      </c>
    </row>
    <row r="563" spans="1:12" x14ac:dyDescent="0.3">
      <c r="A563" s="6">
        <f ca="1">Table1[[#This Row],[Date]]*1</f>
        <v>45421</v>
      </c>
      <c r="B563" t="s">
        <v>44</v>
      </c>
      <c r="C563" t="s">
        <v>11</v>
      </c>
      <c r="D563" t="s">
        <v>12</v>
      </c>
      <c r="E563" t="s">
        <v>35</v>
      </c>
      <c r="F563" t="s">
        <v>32</v>
      </c>
      <c r="G563" s="2">
        <v>25</v>
      </c>
      <c r="H563" s="2">
        <v>565.80999999999995</v>
      </c>
      <c r="I563" s="2">
        <v>801.87</v>
      </c>
      <c r="J563" s="2">
        <v>14145.25</v>
      </c>
      <c r="K563" s="2">
        <v>20046.75</v>
      </c>
      <c r="L563" s="2">
        <v>5901.5</v>
      </c>
    </row>
    <row r="564" spans="1:12" x14ac:dyDescent="0.3">
      <c r="A564" s="6">
        <f ca="1">Table1[[#This Row],[Date]]*1</f>
        <v>45471</v>
      </c>
      <c r="B564" t="s">
        <v>39</v>
      </c>
      <c r="C564" t="s">
        <v>2</v>
      </c>
      <c r="D564" t="s">
        <v>5</v>
      </c>
      <c r="E564" t="s">
        <v>43</v>
      </c>
      <c r="F564" t="s">
        <v>32</v>
      </c>
      <c r="G564" s="2">
        <v>22</v>
      </c>
      <c r="H564" s="2">
        <v>568.41999999999996</v>
      </c>
      <c r="I564" s="2">
        <v>786.69</v>
      </c>
      <c r="J564" s="2">
        <v>12505.24</v>
      </c>
      <c r="K564" s="2">
        <v>17307.18</v>
      </c>
      <c r="L564" s="2">
        <v>4801.9399999999996</v>
      </c>
    </row>
    <row r="565" spans="1:12" x14ac:dyDescent="0.3">
      <c r="A565" s="6">
        <f ca="1">Table1[[#This Row],[Date]]*1</f>
        <v>45382</v>
      </c>
      <c r="B565" t="s">
        <v>30</v>
      </c>
      <c r="C565" t="s">
        <v>6</v>
      </c>
      <c r="D565" t="s">
        <v>10</v>
      </c>
      <c r="E565" t="s">
        <v>43</v>
      </c>
      <c r="F565" t="s">
        <v>29</v>
      </c>
      <c r="G565" s="2">
        <v>27</v>
      </c>
      <c r="H565" s="2">
        <v>604.36</v>
      </c>
      <c r="I565" s="2">
        <v>886.39</v>
      </c>
      <c r="J565" s="2">
        <v>16317.72</v>
      </c>
      <c r="K565" s="2">
        <v>23932.53</v>
      </c>
      <c r="L565" s="2">
        <v>7614.81</v>
      </c>
    </row>
    <row r="566" spans="1:12" x14ac:dyDescent="0.3">
      <c r="A566" s="6">
        <f ca="1">Table1[[#This Row],[Date]]*1</f>
        <v>45655</v>
      </c>
      <c r="B566" t="s">
        <v>38</v>
      </c>
      <c r="C566" t="s">
        <v>2</v>
      </c>
      <c r="D566" t="s">
        <v>3</v>
      </c>
      <c r="E566" t="s">
        <v>35</v>
      </c>
      <c r="F566" t="s">
        <v>32</v>
      </c>
      <c r="G566" s="2">
        <v>19</v>
      </c>
      <c r="H566" s="2">
        <v>264.38</v>
      </c>
      <c r="I566" s="2">
        <v>319.79000000000002</v>
      </c>
      <c r="J566" s="2">
        <v>5023.22</v>
      </c>
      <c r="K566" s="2">
        <v>6076.01</v>
      </c>
      <c r="L566" s="2">
        <v>1052.79</v>
      </c>
    </row>
    <row r="567" spans="1:12" x14ac:dyDescent="0.3">
      <c r="A567" s="6">
        <f ca="1">Table1[[#This Row],[Date]]*1</f>
        <v>45459</v>
      </c>
      <c r="B567" t="s">
        <v>30</v>
      </c>
      <c r="C567" t="s">
        <v>2</v>
      </c>
      <c r="D567" t="s">
        <v>5</v>
      </c>
      <c r="E567" t="s">
        <v>33</v>
      </c>
      <c r="F567" t="s">
        <v>29</v>
      </c>
      <c r="G567" s="2">
        <v>11</v>
      </c>
      <c r="H567" s="2">
        <v>825.96</v>
      </c>
      <c r="I567" s="2">
        <v>938.17</v>
      </c>
      <c r="J567" s="2">
        <v>9085.56</v>
      </c>
      <c r="K567" s="2">
        <v>10319.870000000001</v>
      </c>
      <c r="L567" s="2">
        <v>1234.31</v>
      </c>
    </row>
    <row r="568" spans="1:12" x14ac:dyDescent="0.3">
      <c r="A568" s="6">
        <f ca="1">Table1[[#This Row],[Date]]*1</f>
        <v>45462</v>
      </c>
      <c r="B568" t="s">
        <v>36</v>
      </c>
      <c r="C568" t="s">
        <v>2</v>
      </c>
      <c r="D568" t="s">
        <v>3</v>
      </c>
      <c r="E568" t="s">
        <v>33</v>
      </c>
      <c r="F568" t="s">
        <v>29</v>
      </c>
      <c r="G568" s="2">
        <v>43</v>
      </c>
      <c r="H568" s="2">
        <v>408.74</v>
      </c>
      <c r="I568" s="2">
        <v>449.91</v>
      </c>
      <c r="J568" s="2">
        <v>17575.82</v>
      </c>
      <c r="K568" s="2">
        <v>19346.13</v>
      </c>
      <c r="L568" s="2">
        <v>1770.31</v>
      </c>
    </row>
    <row r="569" spans="1:12" x14ac:dyDescent="0.3">
      <c r="A569" s="6">
        <f ca="1">Table1[[#This Row],[Date]]*1</f>
        <v>45369</v>
      </c>
      <c r="B569" t="s">
        <v>44</v>
      </c>
      <c r="C569" t="s">
        <v>8</v>
      </c>
      <c r="D569" t="s">
        <v>16</v>
      </c>
      <c r="E569" t="s">
        <v>43</v>
      </c>
      <c r="F569" t="s">
        <v>29</v>
      </c>
      <c r="G569" s="2">
        <v>31</v>
      </c>
      <c r="H569" s="2">
        <v>780.46</v>
      </c>
      <c r="I569" s="2">
        <v>1152.8599999999999</v>
      </c>
      <c r="J569" s="2">
        <v>24194.26</v>
      </c>
      <c r="K569" s="2">
        <v>35738.660000000003</v>
      </c>
      <c r="L569" s="2">
        <v>11544.4</v>
      </c>
    </row>
    <row r="570" spans="1:12" x14ac:dyDescent="0.3">
      <c r="A570" s="6">
        <f ca="1">Table1[[#This Row],[Date]]*1</f>
        <v>45536</v>
      </c>
      <c r="B570" t="s">
        <v>30</v>
      </c>
      <c r="C570" t="s">
        <v>6</v>
      </c>
      <c r="D570" t="s">
        <v>17</v>
      </c>
      <c r="E570" t="s">
        <v>43</v>
      </c>
      <c r="F570" t="s">
        <v>29</v>
      </c>
      <c r="G570" s="2">
        <v>19</v>
      </c>
      <c r="H570" s="2">
        <v>234.45</v>
      </c>
      <c r="I570" s="2">
        <v>332.99</v>
      </c>
      <c r="J570" s="2">
        <v>4454.55</v>
      </c>
      <c r="K570" s="2">
        <v>6326.81</v>
      </c>
      <c r="L570" s="2">
        <v>1872.26</v>
      </c>
    </row>
    <row r="571" spans="1:12" x14ac:dyDescent="0.3">
      <c r="A571" s="6">
        <f ca="1">Table1[[#This Row],[Date]]*1</f>
        <v>45342</v>
      </c>
      <c r="B571" t="s">
        <v>39</v>
      </c>
      <c r="C571" t="s">
        <v>6</v>
      </c>
      <c r="D571" t="s">
        <v>10</v>
      </c>
      <c r="E571" t="s">
        <v>35</v>
      </c>
      <c r="F571" t="s">
        <v>29</v>
      </c>
      <c r="G571" s="2">
        <v>36</v>
      </c>
      <c r="H571" s="2">
        <v>566.9</v>
      </c>
      <c r="I571" s="2">
        <v>666.53</v>
      </c>
      <c r="J571" s="2">
        <v>20408.400000000001</v>
      </c>
      <c r="K571" s="2">
        <v>23995.08</v>
      </c>
      <c r="L571" s="2">
        <v>3586.68</v>
      </c>
    </row>
    <row r="572" spans="1:12" x14ac:dyDescent="0.3">
      <c r="A572" s="6">
        <f ca="1">Table1[[#This Row],[Date]]*1</f>
        <v>45399</v>
      </c>
      <c r="B572" t="s">
        <v>41</v>
      </c>
      <c r="C572" t="s">
        <v>11</v>
      </c>
      <c r="D572" t="s">
        <v>12</v>
      </c>
      <c r="E572" t="s">
        <v>31</v>
      </c>
      <c r="F572" t="s">
        <v>32</v>
      </c>
      <c r="G572" s="2">
        <v>4</v>
      </c>
      <c r="H572" s="2">
        <v>509.85</v>
      </c>
      <c r="I572" s="2">
        <v>762.61</v>
      </c>
      <c r="J572" s="2">
        <v>2039.4</v>
      </c>
      <c r="K572" s="2">
        <v>3050.44</v>
      </c>
      <c r="L572" s="2">
        <v>1011.04</v>
      </c>
    </row>
    <row r="573" spans="1:12" x14ac:dyDescent="0.3">
      <c r="A573" s="6">
        <f ca="1">Table1[[#This Row],[Date]]*1</f>
        <v>45583</v>
      </c>
      <c r="B573" t="s">
        <v>38</v>
      </c>
      <c r="C573" t="s">
        <v>2</v>
      </c>
      <c r="D573" t="s">
        <v>5</v>
      </c>
      <c r="E573" t="s">
        <v>33</v>
      </c>
      <c r="F573" t="s">
        <v>29</v>
      </c>
      <c r="G573" s="2">
        <v>47</v>
      </c>
      <c r="H573" s="2">
        <v>75.239999999999995</v>
      </c>
      <c r="I573" s="2">
        <v>104.98</v>
      </c>
      <c r="J573" s="2">
        <v>3536.28</v>
      </c>
      <c r="K573" s="2">
        <v>4934.0600000000004</v>
      </c>
      <c r="L573" s="2">
        <v>1397.78</v>
      </c>
    </row>
    <row r="574" spans="1:12" x14ac:dyDescent="0.3">
      <c r="A574" s="6">
        <f ca="1">Table1[[#This Row],[Date]]*1</f>
        <v>45631</v>
      </c>
      <c r="B574" t="s">
        <v>44</v>
      </c>
      <c r="C574" t="s">
        <v>8</v>
      </c>
      <c r="D574" t="s">
        <v>42</v>
      </c>
      <c r="E574" t="s">
        <v>4</v>
      </c>
      <c r="F574" t="s">
        <v>32</v>
      </c>
      <c r="G574" s="2">
        <v>20</v>
      </c>
      <c r="H574" s="2">
        <v>174.85</v>
      </c>
      <c r="I574" s="2">
        <v>197.91</v>
      </c>
      <c r="J574" s="2">
        <v>3497</v>
      </c>
      <c r="K574" s="2">
        <v>3958.2</v>
      </c>
      <c r="L574" s="2">
        <v>461.2</v>
      </c>
    </row>
    <row r="575" spans="1:12" x14ac:dyDescent="0.3">
      <c r="A575" s="6">
        <f ca="1">Table1[[#This Row],[Date]]*1</f>
        <v>45554</v>
      </c>
      <c r="B575" t="s">
        <v>36</v>
      </c>
      <c r="C575" t="s">
        <v>6</v>
      </c>
      <c r="D575" t="s">
        <v>17</v>
      </c>
      <c r="E575" t="s">
        <v>33</v>
      </c>
      <c r="F575" t="s">
        <v>29</v>
      </c>
      <c r="G575" s="2">
        <v>36</v>
      </c>
      <c r="H575" s="2">
        <v>498.61</v>
      </c>
      <c r="I575" s="2">
        <v>586.63</v>
      </c>
      <c r="J575" s="2">
        <v>17949.96</v>
      </c>
      <c r="K575" s="2">
        <v>21118.68</v>
      </c>
      <c r="L575" s="2">
        <v>3168.72</v>
      </c>
    </row>
    <row r="576" spans="1:12" x14ac:dyDescent="0.3">
      <c r="A576" s="6">
        <f ca="1">Table1[[#This Row],[Date]]*1</f>
        <v>45344</v>
      </c>
      <c r="B576" t="s">
        <v>34</v>
      </c>
      <c r="C576" t="s">
        <v>11</v>
      </c>
      <c r="D576" t="s">
        <v>13</v>
      </c>
      <c r="E576" t="s">
        <v>35</v>
      </c>
      <c r="F576" t="s">
        <v>32</v>
      </c>
      <c r="G576" s="2">
        <v>16</v>
      </c>
      <c r="H576" s="2">
        <v>597.57000000000005</v>
      </c>
      <c r="I576" s="2">
        <v>770.85</v>
      </c>
      <c r="J576" s="2">
        <v>9561.1200000000008</v>
      </c>
      <c r="K576" s="2">
        <v>12333.6</v>
      </c>
      <c r="L576" s="2">
        <v>2772.48</v>
      </c>
    </row>
    <row r="577" spans="1:12" x14ac:dyDescent="0.3">
      <c r="A577" s="6">
        <f ca="1">Table1[[#This Row],[Date]]*1</f>
        <v>45571</v>
      </c>
      <c r="B577" t="s">
        <v>38</v>
      </c>
      <c r="C577" t="s">
        <v>2</v>
      </c>
      <c r="D577" t="s">
        <v>5</v>
      </c>
      <c r="E577" t="s">
        <v>43</v>
      </c>
      <c r="F577" t="s">
        <v>29</v>
      </c>
      <c r="G577" s="2">
        <v>30</v>
      </c>
      <c r="H577" s="2">
        <v>433.51</v>
      </c>
      <c r="I577" s="2">
        <v>534.30999999999995</v>
      </c>
      <c r="J577" s="2">
        <v>13005.3</v>
      </c>
      <c r="K577" s="2">
        <v>16029.3</v>
      </c>
      <c r="L577" s="2">
        <v>3024</v>
      </c>
    </row>
    <row r="578" spans="1:12" x14ac:dyDescent="0.3">
      <c r="A578" s="6">
        <f ca="1">Table1[[#This Row],[Date]]*1</f>
        <v>45497</v>
      </c>
      <c r="B578" t="s">
        <v>28</v>
      </c>
      <c r="C578" t="s">
        <v>11</v>
      </c>
      <c r="D578" t="s">
        <v>12</v>
      </c>
      <c r="E578" t="s">
        <v>4</v>
      </c>
      <c r="F578" t="s">
        <v>32</v>
      </c>
      <c r="G578" s="2">
        <v>48</v>
      </c>
      <c r="H578" s="2">
        <v>555.54</v>
      </c>
      <c r="I578" s="2">
        <v>713.5</v>
      </c>
      <c r="J578" s="2">
        <v>26665.919999999998</v>
      </c>
      <c r="K578" s="2">
        <v>34248</v>
      </c>
      <c r="L578" s="2">
        <v>7582.08</v>
      </c>
    </row>
    <row r="579" spans="1:12" x14ac:dyDescent="0.3">
      <c r="A579" s="6">
        <f ca="1">Table1[[#This Row],[Date]]*1</f>
        <v>45433</v>
      </c>
      <c r="B579" t="s">
        <v>44</v>
      </c>
      <c r="C579" t="s">
        <v>8</v>
      </c>
      <c r="D579" t="s">
        <v>42</v>
      </c>
      <c r="E579" t="s">
        <v>31</v>
      </c>
      <c r="F579" t="s">
        <v>29</v>
      </c>
      <c r="G579" s="2">
        <v>12</v>
      </c>
      <c r="H579" s="2">
        <v>223.71</v>
      </c>
      <c r="I579" s="2">
        <v>271.79000000000002</v>
      </c>
      <c r="J579" s="2">
        <v>2684.52</v>
      </c>
      <c r="K579" s="2">
        <v>3261.48</v>
      </c>
      <c r="L579" s="2">
        <v>576.96</v>
      </c>
    </row>
    <row r="580" spans="1:12" x14ac:dyDescent="0.3">
      <c r="A580" s="6">
        <f ca="1">Table1[[#This Row],[Date]]*1</f>
        <v>45642</v>
      </c>
      <c r="B580" t="s">
        <v>30</v>
      </c>
      <c r="C580" t="s">
        <v>11</v>
      </c>
      <c r="D580" t="s">
        <v>12</v>
      </c>
      <c r="E580" t="s">
        <v>31</v>
      </c>
      <c r="F580" t="s">
        <v>29</v>
      </c>
      <c r="G580" s="2">
        <v>42</v>
      </c>
      <c r="H580" s="2">
        <v>859.26</v>
      </c>
      <c r="I580" s="2">
        <v>1103.6400000000001</v>
      </c>
      <c r="J580" s="2">
        <v>36088.92</v>
      </c>
      <c r="K580" s="2">
        <v>46352.88</v>
      </c>
      <c r="L580" s="2">
        <v>10263.959999999999</v>
      </c>
    </row>
    <row r="581" spans="1:12" x14ac:dyDescent="0.3">
      <c r="A581" s="6">
        <f ca="1">Table1[[#This Row],[Date]]*1</f>
        <v>45582</v>
      </c>
      <c r="B581" t="s">
        <v>41</v>
      </c>
      <c r="C581" t="s">
        <v>6</v>
      </c>
      <c r="D581" t="s">
        <v>7</v>
      </c>
      <c r="E581" t="s">
        <v>31</v>
      </c>
      <c r="F581" t="s">
        <v>29</v>
      </c>
      <c r="G581" s="2">
        <v>32</v>
      </c>
      <c r="H581" s="2">
        <v>82.64</v>
      </c>
      <c r="I581" s="2">
        <v>99.59</v>
      </c>
      <c r="J581" s="2">
        <v>2644.48</v>
      </c>
      <c r="K581" s="2">
        <v>3186.88</v>
      </c>
      <c r="L581" s="2">
        <v>542.4</v>
      </c>
    </row>
    <row r="582" spans="1:12" x14ac:dyDescent="0.3">
      <c r="A582" s="6">
        <f ca="1">Table1[[#This Row],[Date]]*1</f>
        <v>45559</v>
      </c>
      <c r="B582" t="s">
        <v>39</v>
      </c>
      <c r="C582" t="s">
        <v>2</v>
      </c>
      <c r="D582" t="s">
        <v>5</v>
      </c>
      <c r="E582" t="s">
        <v>31</v>
      </c>
      <c r="F582" t="s">
        <v>32</v>
      </c>
      <c r="G582" s="2">
        <v>50</v>
      </c>
      <c r="H582" s="2">
        <v>260.42</v>
      </c>
      <c r="I582" s="2">
        <v>354.09</v>
      </c>
      <c r="J582" s="2">
        <v>13021</v>
      </c>
      <c r="K582" s="2">
        <v>17704.5</v>
      </c>
      <c r="L582" s="2">
        <v>4683.5</v>
      </c>
    </row>
    <row r="583" spans="1:12" x14ac:dyDescent="0.3">
      <c r="A583" s="6">
        <f ca="1">Table1[[#This Row],[Date]]*1</f>
        <v>45403</v>
      </c>
      <c r="B583" t="s">
        <v>30</v>
      </c>
      <c r="C583" t="s">
        <v>6</v>
      </c>
      <c r="D583" t="s">
        <v>17</v>
      </c>
      <c r="E583" t="s">
        <v>40</v>
      </c>
      <c r="F583" t="s">
        <v>29</v>
      </c>
      <c r="G583" s="2">
        <v>43</v>
      </c>
      <c r="H583" s="2">
        <v>500.81</v>
      </c>
      <c r="I583" s="2">
        <v>690.09</v>
      </c>
      <c r="J583" s="2">
        <v>21534.83</v>
      </c>
      <c r="K583" s="2">
        <v>29673.87</v>
      </c>
      <c r="L583" s="2">
        <v>8139.04</v>
      </c>
    </row>
    <row r="584" spans="1:12" x14ac:dyDescent="0.3">
      <c r="A584" s="6">
        <f ca="1">Table1[[#This Row],[Date]]*1</f>
        <v>45458</v>
      </c>
      <c r="B584" t="s">
        <v>38</v>
      </c>
      <c r="C584" t="s">
        <v>6</v>
      </c>
      <c r="D584" t="s">
        <v>10</v>
      </c>
      <c r="E584" t="s">
        <v>43</v>
      </c>
      <c r="F584" t="s">
        <v>32</v>
      </c>
      <c r="G584" s="2">
        <v>38</v>
      </c>
      <c r="H584" s="2">
        <v>830.8</v>
      </c>
      <c r="I584" s="2">
        <v>1145.58</v>
      </c>
      <c r="J584" s="2">
        <v>31570.400000000001</v>
      </c>
      <c r="K584" s="2">
        <v>43532.04</v>
      </c>
      <c r="L584" s="2">
        <v>11961.64</v>
      </c>
    </row>
    <row r="585" spans="1:12" x14ac:dyDescent="0.3">
      <c r="A585" s="6">
        <f ca="1">Table1[[#This Row],[Date]]*1</f>
        <v>45468</v>
      </c>
      <c r="B585" t="s">
        <v>41</v>
      </c>
      <c r="C585" t="s">
        <v>8</v>
      </c>
      <c r="D585" t="s">
        <v>9</v>
      </c>
      <c r="E585" t="s">
        <v>31</v>
      </c>
      <c r="F585" t="s">
        <v>29</v>
      </c>
      <c r="G585" s="2">
        <v>16</v>
      </c>
      <c r="H585" s="2">
        <v>155.16999999999999</v>
      </c>
      <c r="I585" s="2">
        <v>230.56</v>
      </c>
      <c r="J585" s="2">
        <v>2482.7199999999998</v>
      </c>
      <c r="K585" s="2">
        <v>3688.96</v>
      </c>
      <c r="L585" s="2">
        <v>1206.24</v>
      </c>
    </row>
    <row r="586" spans="1:12" x14ac:dyDescent="0.3">
      <c r="A586" s="6">
        <f ca="1">Table1[[#This Row],[Date]]*1</f>
        <v>45471</v>
      </c>
      <c r="B586" t="s">
        <v>45</v>
      </c>
      <c r="C586" t="s">
        <v>11</v>
      </c>
      <c r="D586" t="s">
        <v>15</v>
      </c>
      <c r="E586" t="s">
        <v>33</v>
      </c>
      <c r="F586" t="s">
        <v>29</v>
      </c>
      <c r="G586" s="2">
        <v>48</v>
      </c>
      <c r="H586" s="2">
        <v>993.53</v>
      </c>
      <c r="I586" s="2">
        <v>1148.43</v>
      </c>
      <c r="J586" s="2">
        <v>47689.440000000002</v>
      </c>
      <c r="K586" s="2">
        <v>55124.639999999999</v>
      </c>
      <c r="L586" s="2">
        <v>7435.2</v>
      </c>
    </row>
    <row r="587" spans="1:12" x14ac:dyDescent="0.3">
      <c r="A587" s="6">
        <f ca="1">Table1[[#This Row],[Date]]*1</f>
        <v>45543</v>
      </c>
      <c r="B587" t="s">
        <v>38</v>
      </c>
      <c r="C587" t="s">
        <v>6</v>
      </c>
      <c r="D587" t="s">
        <v>10</v>
      </c>
      <c r="E587" t="s">
        <v>33</v>
      </c>
      <c r="F587" t="s">
        <v>32</v>
      </c>
      <c r="G587" s="2">
        <v>36</v>
      </c>
      <c r="H587" s="2">
        <v>284.10000000000002</v>
      </c>
      <c r="I587" s="2">
        <v>340.14</v>
      </c>
      <c r="J587" s="2">
        <v>10227.6</v>
      </c>
      <c r="K587" s="2">
        <v>12245.04</v>
      </c>
      <c r="L587" s="2">
        <v>2017.44</v>
      </c>
    </row>
    <row r="588" spans="1:12" x14ac:dyDescent="0.3">
      <c r="A588" s="6">
        <f ca="1">Table1[[#This Row],[Date]]*1</f>
        <v>45423</v>
      </c>
      <c r="B588" t="s">
        <v>41</v>
      </c>
      <c r="C588" t="s">
        <v>8</v>
      </c>
      <c r="D588" t="s">
        <v>42</v>
      </c>
      <c r="E588" t="s">
        <v>4</v>
      </c>
      <c r="F588" t="s">
        <v>29</v>
      </c>
      <c r="G588" s="2">
        <v>33</v>
      </c>
      <c r="H588" s="2">
        <v>151.78</v>
      </c>
      <c r="I588" s="2">
        <v>177.75</v>
      </c>
      <c r="J588" s="2">
        <v>5008.74</v>
      </c>
      <c r="K588" s="2">
        <v>5865.75</v>
      </c>
      <c r="L588" s="2">
        <v>857.01</v>
      </c>
    </row>
    <row r="589" spans="1:12" x14ac:dyDescent="0.3">
      <c r="A589" s="6">
        <f ca="1">Table1[[#This Row],[Date]]*1</f>
        <v>45652</v>
      </c>
      <c r="B589" t="s">
        <v>28</v>
      </c>
      <c r="C589" t="s">
        <v>6</v>
      </c>
      <c r="D589" t="s">
        <v>17</v>
      </c>
      <c r="E589" t="s">
        <v>33</v>
      </c>
      <c r="F589" t="s">
        <v>29</v>
      </c>
      <c r="G589" s="2">
        <v>39</v>
      </c>
      <c r="H589" s="2">
        <v>216.22</v>
      </c>
      <c r="I589" s="2">
        <v>289.25</v>
      </c>
      <c r="J589" s="2">
        <v>8432.58</v>
      </c>
      <c r="K589" s="2">
        <v>11280.75</v>
      </c>
      <c r="L589" s="2">
        <v>2848.17</v>
      </c>
    </row>
    <row r="590" spans="1:12" x14ac:dyDescent="0.3">
      <c r="A590" s="6">
        <f ca="1">Table1[[#This Row],[Date]]*1</f>
        <v>45472</v>
      </c>
      <c r="B590" t="s">
        <v>41</v>
      </c>
      <c r="C590" t="s">
        <v>6</v>
      </c>
      <c r="D590" t="s">
        <v>7</v>
      </c>
      <c r="E590" t="s">
        <v>33</v>
      </c>
      <c r="F590" t="s">
        <v>29</v>
      </c>
      <c r="G590" s="2">
        <v>33</v>
      </c>
      <c r="H590" s="2">
        <v>311.01</v>
      </c>
      <c r="I590" s="2">
        <v>423.72</v>
      </c>
      <c r="J590" s="2">
        <v>10263.33</v>
      </c>
      <c r="K590" s="2">
        <v>13982.76</v>
      </c>
      <c r="L590" s="2">
        <v>3719.43</v>
      </c>
    </row>
    <row r="591" spans="1:12" x14ac:dyDescent="0.3">
      <c r="A591" s="6">
        <f ca="1">Table1[[#This Row],[Date]]*1</f>
        <v>45604</v>
      </c>
      <c r="B591" t="s">
        <v>34</v>
      </c>
      <c r="C591" t="s">
        <v>2</v>
      </c>
      <c r="D591" t="s">
        <v>5</v>
      </c>
      <c r="E591" t="s">
        <v>35</v>
      </c>
      <c r="F591" t="s">
        <v>29</v>
      </c>
      <c r="G591" s="2">
        <v>28</v>
      </c>
      <c r="H591" s="2">
        <v>566.99</v>
      </c>
      <c r="I591" s="2">
        <v>657.87</v>
      </c>
      <c r="J591" s="2">
        <v>15875.72</v>
      </c>
      <c r="K591" s="2">
        <v>18420.36</v>
      </c>
      <c r="L591" s="2">
        <v>2544.64</v>
      </c>
    </row>
    <row r="592" spans="1:12" x14ac:dyDescent="0.3">
      <c r="A592" s="6">
        <f ca="1">Table1[[#This Row],[Date]]*1</f>
        <v>45447</v>
      </c>
      <c r="B592" t="s">
        <v>39</v>
      </c>
      <c r="C592" t="s">
        <v>6</v>
      </c>
      <c r="D592" t="s">
        <v>10</v>
      </c>
      <c r="E592" t="s">
        <v>33</v>
      </c>
      <c r="F592" t="s">
        <v>32</v>
      </c>
      <c r="G592" s="2">
        <v>45</v>
      </c>
      <c r="H592" s="2">
        <v>559.52</v>
      </c>
      <c r="I592" s="2">
        <v>781.35</v>
      </c>
      <c r="J592" s="2">
        <v>25178.400000000001</v>
      </c>
      <c r="K592" s="2">
        <v>35160.75</v>
      </c>
      <c r="L592" s="2">
        <v>9982.35</v>
      </c>
    </row>
    <row r="593" spans="1:12" x14ac:dyDescent="0.3">
      <c r="A593" s="6">
        <f ca="1">Table1[[#This Row],[Date]]*1</f>
        <v>45648</v>
      </c>
      <c r="B593" t="s">
        <v>45</v>
      </c>
      <c r="C593" t="s">
        <v>11</v>
      </c>
      <c r="D593" t="s">
        <v>15</v>
      </c>
      <c r="E593" t="s">
        <v>4</v>
      </c>
      <c r="F593" t="s">
        <v>32</v>
      </c>
      <c r="G593" s="2">
        <v>32</v>
      </c>
      <c r="H593" s="2">
        <v>375.5</v>
      </c>
      <c r="I593" s="2">
        <v>433.87</v>
      </c>
      <c r="J593" s="2">
        <v>12016</v>
      </c>
      <c r="K593" s="2">
        <v>13883.84</v>
      </c>
      <c r="L593" s="2">
        <v>1867.84</v>
      </c>
    </row>
    <row r="594" spans="1:12" x14ac:dyDescent="0.3">
      <c r="A594" s="6">
        <f ca="1">Table1[[#This Row],[Date]]*1</f>
        <v>45546</v>
      </c>
      <c r="B594" t="s">
        <v>30</v>
      </c>
      <c r="C594" t="s">
        <v>2</v>
      </c>
      <c r="D594" t="s">
        <v>14</v>
      </c>
      <c r="E594" t="s">
        <v>33</v>
      </c>
      <c r="F594" t="s">
        <v>29</v>
      </c>
      <c r="G594" s="2">
        <v>9</v>
      </c>
      <c r="H594" s="2">
        <v>437.54</v>
      </c>
      <c r="I594" s="2">
        <v>630.36</v>
      </c>
      <c r="J594" s="2">
        <v>3937.86</v>
      </c>
      <c r="K594" s="2">
        <v>5673.24</v>
      </c>
      <c r="L594" s="2">
        <v>1735.38</v>
      </c>
    </row>
    <row r="595" spans="1:12" x14ac:dyDescent="0.3">
      <c r="A595" s="6">
        <f ca="1">Table1[[#This Row],[Date]]*1</f>
        <v>45293</v>
      </c>
      <c r="B595" t="s">
        <v>30</v>
      </c>
      <c r="C595" t="s">
        <v>11</v>
      </c>
      <c r="D595" t="s">
        <v>15</v>
      </c>
      <c r="E595" t="s">
        <v>40</v>
      </c>
      <c r="F595" t="s">
        <v>29</v>
      </c>
      <c r="G595" s="2">
        <v>15</v>
      </c>
      <c r="H595" s="2">
        <v>138.1</v>
      </c>
      <c r="I595" s="2">
        <v>191.76</v>
      </c>
      <c r="J595" s="2">
        <v>2071.5</v>
      </c>
      <c r="K595" s="2">
        <v>2876.4</v>
      </c>
      <c r="L595" s="2">
        <v>804.9</v>
      </c>
    </row>
    <row r="596" spans="1:12" x14ac:dyDescent="0.3">
      <c r="A596" s="6">
        <f ca="1">Table1[[#This Row],[Date]]*1</f>
        <v>45456</v>
      </c>
      <c r="B596" t="s">
        <v>45</v>
      </c>
      <c r="C596" t="s">
        <v>2</v>
      </c>
      <c r="D596" t="s">
        <v>3</v>
      </c>
      <c r="E596" t="s">
        <v>40</v>
      </c>
      <c r="F596" t="s">
        <v>32</v>
      </c>
      <c r="G596" s="2">
        <v>4</v>
      </c>
      <c r="H596" s="2">
        <v>907.85</v>
      </c>
      <c r="I596" s="2">
        <v>1143.05</v>
      </c>
      <c r="J596" s="2">
        <v>3631.4</v>
      </c>
      <c r="K596" s="2">
        <v>4572.2</v>
      </c>
      <c r="L596" s="2">
        <v>940.8</v>
      </c>
    </row>
    <row r="597" spans="1:12" x14ac:dyDescent="0.3">
      <c r="A597" s="6">
        <f ca="1">Table1[[#This Row],[Date]]*1</f>
        <v>45348</v>
      </c>
      <c r="B597" t="s">
        <v>36</v>
      </c>
      <c r="C597" t="s">
        <v>8</v>
      </c>
      <c r="D597" t="s">
        <v>42</v>
      </c>
      <c r="E597" t="s">
        <v>35</v>
      </c>
      <c r="F597" t="s">
        <v>32</v>
      </c>
      <c r="G597" s="2">
        <v>49</v>
      </c>
      <c r="H597" s="2">
        <v>112.42</v>
      </c>
      <c r="I597" s="2">
        <v>126.57</v>
      </c>
      <c r="J597" s="2">
        <v>5508.58</v>
      </c>
      <c r="K597" s="2">
        <v>6201.93</v>
      </c>
      <c r="L597" s="2">
        <v>693.35</v>
      </c>
    </row>
    <row r="598" spans="1:12" x14ac:dyDescent="0.3">
      <c r="A598" s="6">
        <f ca="1">Table1[[#This Row],[Date]]*1</f>
        <v>45614</v>
      </c>
      <c r="B598" t="s">
        <v>30</v>
      </c>
      <c r="C598" t="s">
        <v>6</v>
      </c>
      <c r="D598" t="s">
        <v>10</v>
      </c>
      <c r="E598" t="s">
        <v>43</v>
      </c>
      <c r="F598" t="s">
        <v>29</v>
      </c>
      <c r="G598" s="2">
        <v>48</v>
      </c>
      <c r="H598" s="2">
        <v>428.58</v>
      </c>
      <c r="I598" s="2">
        <v>581.6</v>
      </c>
      <c r="J598" s="2">
        <v>20571.84</v>
      </c>
      <c r="K598" s="2">
        <v>27916.799999999999</v>
      </c>
      <c r="L598" s="2">
        <v>7344.96</v>
      </c>
    </row>
    <row r="599" spans="1:12" x14ac:dyDescent="0.3">
      <c r="A599" s="6">
        <f ca="1">Table1[[#This Row],[Date]]*1</f>
        <v>45504</v>
      </c>
      <c r="B599" t="s">
        <v>30</v>
      </c>
      <c r="C599" t="s">
        <v>8</v>
      </c>
      <c r="D599" t="s">
        <v>9</v>
      </c>
      <c r="E599" t="s">
        <v>35</v>
      </c>
      <c r="F599" t="s">
        <v>29</v>
      </c>
      <c r="G599" s="2">
        <v>13</v>
      </c>
      <c r="H599" s="2">
        <v>498.44</v>
      </c>
      <c r="I599" s="2">
        <v>582.1</v>
      </c>
      <c r="J599" s="2">
        <v>6479.72</v>
      </c>
      <c r="K599" s="2">
        <v>7567.3</v>
      </c>
      <c r="L599" s="2">
        <v>1087.58</v>
      </c>
    </row>
    <row r="600" spans="1:12" x14ac:dyDescent="0.3">
      <c r="A600" s="6">
        <f ca="1">Table1[[#This Row],[Date]]*1</f>
        <v>45601</v>
      </c>
      <c r="B600" t="s">
        <v>45</v>
      </c>
      <c r="C600" t="s">
        <v>11</v>
      </c>
      <c r="D600" t="s">
        <v>13</v>
      </c>
      <c r="E600" t="s">
        <v>43</v>
      </c>
      <c r="F600" t="s">
        <v>32</v>
      </c>
      <c r="G600" s="2">
        <v>47</v>
      </c>
      <c r="H600" s="2">
        <v>833.84</v>
      </c>
      <c r="I600" s="2">
        <v>1165.03</v>
      </c>
      <c r="J600" s="2">
        <v>39190.480000000003</v>
      </c>
      <c r="K600" s="2">
        <v>54756.41</v>
      </c>
      <c r="L600" s="2">
        <v>15565.93</v>
      </c>
    </row>
    <row r="601" spans="1:12" x14ac:dyDescent="0.3">
      <c r="A601" s="6">
        <f ca="1">Table1[[#This Row],[Date]]*1</f>
        <v>45390</v>
      </c>
      <c r="B601" t="s">
        <v>39</v>
      </c>
      <c r="C601" t="s">
        <v>11</v>
      </c>
      <c r="D601" t="s">
        <v>12</v>
      </c>
      <c r="E601" t="s">
        <v>43</v>
      </c>
      <c r="F601" t="s">
        <v>29</v>
      </c>
      <c r="G601" s="2">
        <v>20</v>
      </c>
      <c r="H601" s="2">
        <v>519.71</v>
      </c>
      <c r="I601" s="2">
        <v>626.96</v>
      </c>
      <c r="J601" s="2">
        <v>10394.200000000001</v>
      </c>
      <c r="K601" s="2">
        <v>12539.2</v>
      </c>
      <c r="L601" s="2">
        <v>2145</v>
      </c>
    </row>
    <row r="602" spans="1:12" x14ac:dyDescent="0.3">
      <c r="A602" s="6">
        <f ca="1">Table1[[#This Row],[Date]]*1</f>
        <v>45317</v>
      </c>
      <c r="B602" t="s">
        <v>38</v>
      </c>
      <c r="C602" t="s">
        <v>11</v>
      </c>
      <c r="D602" t="s">
        <v>12</v>
      </c>
      <c r="E602" t="s">
        <v>4</v>
      </c>
      <c r="F602" t="s">
        <v>32</v>
      </c>
      <c r="G602" s="2">
        <v>29</v>
      </c>
      <c r="H602" s="2">
        <v>941.34</v>
      </c>
      <c r="I602" s="2">
        <v>1103.8800000000001</v>
      </c>
      <c r="J602" s="2">
        <v>27298.86</v>
      </c>
      <c r="K602" s="2">
        <v>32012.52</v>
      </c>
      <c r="L602" s="2">
        <v>4713.66</v>
      </c>
    </row>
    <row r="603" spans="1:12" x14ac:dyDescent="0.3">
      <c r="A603" s="6">
        <f ca="1">Table1[[#This Row],[Date]]*1</f>
        <v>45390</v>
      </c>
      <c r="B603" t="s">
        <v>38</v>
      </c>
      <c r="C603" t="s">
        <v>11</v>
      </c>
      <c r="D603" t="s">
        <v>13</v>
      </c>
      <c r="E603" t="s">
        <v>31</v>
      </c>
      <c r="F603" t="s">
        <v>29</v>
      </c>
      <c r="G603" s="2">
        <v>23</v>
      </c>
      <c r="H603" s="2">
        <v>426.41</v>
      </c>
      <c r="I603" s="2">
        <v>576.11</v>
      </c>
      <c r="J603" s="2">
        <v>9807.43</v>
      </c>
      <c r="K603" s="2">
        <v>13250.53</v>
      </c>
      <c r="L603" s="2">
        <v>3443.1</v>
      </c>
    </row>
    <row r="604" spans="1:12" x14ac:dyDescent="0.3">
      <c r="A604" s="6">
        <f ca="1">Table1[[#This Row],[Date]]*1</f>
        <v>45533</v>
      </c>
      <c r="B604" t="s">
        <v>34</v>
      </c>
      <c r="C604" t="s">
        <v>6</v>
      </c>
      <c r="D604" t="s">
        <v>10</v>
      </c>
      <c r="E604" t="s">
        <v>35</v>
      </c>
      <c r="F604" t="s">
        <v>29</v>
      </c>
      <c r="G604" s="2">
        <v>24</v>
      </c>
      <c r="H604" s="2">
        <v>131.06</v>
      </c>
      <c r="I604" s="2">
        <v>149.51</v>
      </c>
      <c r="J604" s="2">
        <v>3145.44</v>
      </c>
      <c r="K604" s="2">
        <v>3588.24</v>
      </c>
      <c r="L604" s="2">
        <v>442.8</v>
      </c>
    </row>
    <row r="605" spans="1:12" x14ac:dyDescent="0.3">
      <c r="A605" s="6">
        <f ca="1">Table1[[#This Row],[Date]]*1</f>
        <v>45334</v>
      </c>
      <c r="B605" t="s">
        <v>28</v>
      </c>
      <c r="C605" t="s">
        <v>6</v>
      </c>
      <c r="D605" t="s">
        <v>17</v>
      </c>
      <c r="E605" t="s">
        <v>35</v>
      </c>
      <c r="F605" t="s">
        <v>32</v>
      </c>
      <c r="G605" s="2">
        <v>45</v>
      </c>
      <c r="H605" s="2">
        <v>74.63</v>
      </c>
      <c r="I605" s="2">
        <v>89.24</v>
      </c>
      <c r="J605" s="2">
        <v>3358.35</v>
      </c>
      <c r="K605" s="2">
        <v>4015.8</v>
      </c>
      <c r="L605" s="2">
        <v>657.45</v>
      </c>
    </row>
    <row r="606" spans="1:12" x14ac:dyDescent="0.3">
      <c r="A606" s="6">
        <f ca="1">Table1[[#This Row],[Date]]*1</f>
        <v>45625</v>
      </c>
      <c r="B606" t="s">
        <v>36</v>
      </c>
      <c r="C606" t="s">
        <v>2</v>
      </c>
      <c r="D606" t="s">
        <v>5</v>
      </c>
      <c r="E606" t="s">
        <v>35</v>
      </c>
      <c r="F606" t="s">
        <v>32</v>
      </c>
      <c r="G606" s="2">
        <v>33</v>
      </c>
      <c r="H606" s="2">
        <v>248.55</v>
      </c>
      <c r="I606" s="2">
        <v>293.92</v>
      </c>
      <c r="J606" s="2">
        <v>8202.15</v>
      </c>
      <c r="K606" s="2">
        <v>9699.36</v>
      </c>
      <c r="L606" s="2">
        <v>1497.21</v>
      </c>
    </row>
    <row r="607" spans="1:12" x14ac:dyDescent="0.3">
      <c r="A607" s="6">
        <f ca="1">Table1[[#This Row],[Date]]*1</f>
        <v>45610</v>
      </c>
      <c r="B607" t="s">
        <v>39</v>
      </c>
      <c r="C607" t="s">
        <v>11</v>
      </c>
      <c r="D607" t="s">
        <v>12</v>
      </c>
      <c r="E607" t="s">
        <v>35</v>
      </c>
      <c r="F607" t="s">
        <v>32</v>
      </c>
      <c r="G607" s="2">
        <v>34</v>
      </c>
      <c r="H607" s="2">
        <v>70.63</v>
      </c>
      <c r="I607" s="2">
        <v>87.39</v>
      </c>
      <c r="J607" s="2">
        <v>2401.42</v>
      </c>
      <c r="K607" s="2">
        <v>2971.26</v>
      </c>
      <c r="L607" s="2">
        <v>569.84</v>
      </c>
    </row>
    <row r="608" spans="1:12" x14ac:dyDescent="0.3">
      <c r="A608" s="6">
        <f ca="1">Table1[[#This Row],[Date]]*1</f>
        <v>45652</v>
      </c>
      <c r="B608" t="s">
        <v>38</v>
      </c>
      <c r="C608" t="s">
        <v>11</v>
      </c>
      <c r="D608" t="s">
        <v>12</v>
      </c>
      <c r="E608" t="s">
        <v>43</v>
      </c>
      <c r="F608" t="s">
        <v>29</v>
      </c>
      <c r="G608" s="2">
        <v>24</v>
      </c>
      <c r="H608" s="2">
        <v>997.78</v>
      </c>
      <c r="I608" s="2">
        <v>1301.43</v>
      </c>
      <c r="J608" s="2">
        <v>23946.720000000001</v>
      </c>
      <c r="K608" s="2">
        <v>31234.32</v>
      </c>
      <c r="L608" s="2">
        <v>7287.6</v>
      </c>
    </row>
    <row r="609" spans="1:12" x14ac:dyDescent="0.3">
      <c r="A609" s="6">
        <f ca="1">Table1[[#This Row],[Date]]*1</f>
        <v>45437</v>
      </c>
      <c r="B609" t="s">
        <v>36</v>
      </c>
      <c r="C609" t="s">
        <v>2</v>
      </c>
      <c r="D609" t="s">
        <v>5</v>
      </c>
      <c r="E609" t="s">
        <v>43</v>
      </c>
      <c r="F609" t="s">
        <v>29</v>
      </c>
      <c r="G609" s="2">
        <v>13</v>
      </c>
      <c r="H609" s="2">
        <v>820.37</v>
      </c>
      <c r="I609" s="2">
        <v>1222.68</v>
      </c>
      <c r="J609" s="2">
        <v>10664.81</v>
      </c>
      <c r="K609" s="2">
        <v>15894.84</v>
      </c>
      <c r="L609" s="2">
        <v>5230.03</v>
      </c>
    </row>
    <row r="610" spans="1:12" x14ac:dyDescent="0.3">
      <c r="A610" s="6">
        <f ca="1">Table1[[#This Row],[Date]]*1</f>
        <v>45481</v>
      </c>
      <c r="B610" t="s">
        <v>38</v>
      </c>
      <c r="C610" t="s">
        <v>6</v>
      </c>
      <c r="D610" t="s">
        <v>17</v>
      </c>
      <c r="E610" t="s">
        <v>35</v>
      </c>
      <c r="F610" t="s">
        <v>29</v>
      </c>
      <c r="G610" s="2">
        <v>24</v>
      </c>
      <c r="H610" s="2">
        <v>851.12</v>
      </c>
      <c r="I610" s="2">
        <v>961.42</v>
      </c>
      <c r="J610" s="2">
        <v>20426.88</v>
      </c>
      <c r="K610" s="2">
        <v>23074.080000000002</v>
      </c>
      <c r="L610" s="2">
        <v>2647.2</v>
      </c>
    </row>
    <row r="611" spans="1:12" x14ac:dyDescent="0.3">
      <c r="A611" s="6">
        <f ca="1">Table1[[#This Row],[Date]]*1</f>
        <v>45304</v>
      </c>
      <c r="B611" t="s">
        <v>28</v>
      </c>
      <c r="C611" t="s">
        <v>8</v>
      </c>
      <c r="D611" t="s">
        <v>16</v>
      </c>
      <c r="E611" t="s">
        <v>4</v>
      </c>
      <c r="F611" t="s">
        <v>29</v>
      </c>
      <c r="G611" s="2">
        <v>1</v>
      </c>
      <c r="H611" s="2">
        <v>130.04</v>
      </c>
      <c r="I611" s="2">
        <v>148.41999999999999</v>
      </c>
      <c r="J611" s="2">
        <v>130.04</v>
      </c>
      <c r="K611" s="2">
        <v>148.41999999999999</v>
      </c>
      <c r="L611" s="2">
        <v>18.38</v>
      </c>
    </row>
    <row r="612" spans="1:12" x14ac:dyDescent="0.3">
      <c r="A612" s="6">
        <f ca="1">Table1[[#This Row],[Date]]*1</f>
        <v>45316</v>
      </c>
      <c r="B612" t="s">
        <v>37</v>
      </c>
      <c r="C612" t="s">
        <v>8</v>
      </c>
      <c r="D612" t="s">
        <v>16</v>
      </c>
      <c r="E612" t="s">
        <v>40</v>
      </c>
      <c r="F612" t="s">
        <v>29</v>
      </c>
      <c r="G612" s="2">
        <v>42</v>
      </c>
      <c r="H612" s="2">
        <v>839.06</v>
      </c>
      <c r="I612" s="2">
        <v>1138.02</v>
      </c>
      <c r="J612" s="2">
        <v>35240.519999999997</v>
      </c>
      <c r="K612" s="2">
        <v>47796.84</v>
      </c>
      <c r="L612" s="2">
        <v>12556.32</v>
      </c>
    </row>
    <row r="613" spans="1:12" x14ac:dyDescent="0.3">
      <c r="A613" s="6">
        <f ca="1">Table1[[#This Row],[Date]]*1</f>
        <v>45543</v>
      </c>
      <c r="B613" t="s">
        <v>44</v>
      </c>
      <c r="C613" t="s">
        <v>6</v>
      </c>
      <c r="D613" t="s">
        <v>7</v>
      </c>
      <c r="E613" t="s">
        <v>43</v>
      </c>
      <c r="F613" t="s">
        <v>32</v>
      </c>
      <c r="G613" s="2">
        <v>11</v>
      </c>
      <c r="H613" s="2">
        <v>820.35</v>
      </c>
      <c r="I613" s="2">
        <v>1172.98</v>
      </c>
      <c r="J613" s="2">
        <v>9023.85</v>
      </c>
      <c r="K613" s="2">
        <v>12902.78</v>
      </c>
      <c r="L613" s="2">
        <v>3878.93</v>
      </c>
    </row>
    <row r="614" spans="1:12" x14ac:dyDescent="0.3">
      <c r="A614" s="6">
        <f ca="1">Table1[[#This Row],[Date]]*1</f>
        <v>45576</v>
      </c>
      <c r="B614" t="s">
        <v>44</v>
      </c>
      <c r="C614" t="s">
        <v>2</v>
      </c>
      <c r="D614" t="s">
        <v>3</v>
      </c>
      <c r="E614" t="s">
        <v>4</v>
      </c>
      <c r="F614" t="s">
        <v>32</v>
      </c>
      <c r="G614" s="2">
        <v>27</v>
      </c>
      <c r="H614" s="2">
        <v>649.88</v>
      </c>
      <c r="I614" s="2">
        <v>743.7</v>
      </c>
      <c r="J614" s="2">
        <v>17546.759999999998</v>
      </c>
      <c r="K614" s="2">
        <v>20079.900000000001</v>
      </c>
      <c r="L614" s="2">
        <v>2533.14</v>
      </c>
    </row>
    <row r="615" spans="1:12" x14ac:dyDescent="0.3">
      <c r="A615" s="6">
        <f ca="1">Table1[[#This Row],[Date]]*1</f>
        <v>45528</v>
      </c>
      <c r="B615" t="s">
        <v>37</v>
      </c>
      <c r="C615" t="s">
        <v>6</v>
      </c>
      <c r="D615" t="s">
        <v>7</v>
      </c>
      <c r="E615" t="s">
        <v>4</v>
      </c>
      <c r="F615" t="s">
        <v>29</v>
      </c>
      <c r="G615" s="2">
        <v>39</v>
      </c>
      <c r="H615" s="2">
        <v>505.22</v>
      </c>
      <c r="I615" s="2">
        <v>662.66</v>
      </c>
      <c r="J615" s="2">
        <v>19703.580000000002</v>
      </c>
      <c r="K615" s="2">
        <v>25843.74</v>
      </c>
      <c r="L615" s="2">
        <v>6140.16</v>
      </c>
    </row>
    <row r="616" spans="1:12" x14ac:dyDescent="0.3">
      <c r="A616" s="6">
        <f ca="1">Table1[[#This Row],[Date]]*1</f>
        <v>45359</v>
      </c>
      <c r="B616" t="s">
        <v>36</v>
      </c>
      <c r="C616" t="s">
        <v>2</v>
      </c>
      <c r="D616" t="s">
        <v>3</v>
      </c>
      <c r="E616" t="s">
        <v>40</v>
      </c>
      <c r="F616" t="s">
        <v>29</v>
      </c>
      <c r="G616" s="2">
        <v>43</v>
      </c>
      <c r="H616" s="2">
        <v>406.02</v>
      </c>
      <c r="I616" s="2">
        <v>469.49</v>
      </c>
      <c r="J616" s="2">
        <v>17458.86</v>
      </c>
      <c r="K616" s="2">
        <v>20188.07</v>
      </c>
      <c r="L616" s="2">
        <v>2729.21</v>
      </c>
    </row>
    <row r="617" spans="1:12" x14ac:dyDescent="0.3">
      <c r="A617" s="6">
        <f ca="1">Table1[[#This Row],[Date]]*1</f>
        <v>45619</v>
      </c>
      <c r="B617" t="s">
        <v>37</v>
      </c>
      <c r="C617" t="s">
        <v>6</v>
      </c>
      <c r="D617" t="s">
        <v>10</v>
      </c>
      <c r="E617" t="s">
        <v>4</v>
      </c>
      <c r="F617" t="s">
        <v>29</v>
      </c>
      <c r="G617" s="2">
        <v>18</v>
      </c>
      <c r="H617" s="2">
        <v>569.05999999999995</v>
      </c>
      <c r="I617" s="2">
        <v>718.25</v>
      </c>
      <c r="J617" s="2">
        <v>10243.08</v>
      </c>
      <c r="K617" s="2">
        <v>12928.5</v>
      </c>
      <c r="L617" s="2">
        <v>2685.42</v>
      </c>
    </row>
    <row r="618" spans="1:12" x14ac:dyDescent="0.3">
      <c r="A618" s="6">
        <f ca="1">Table1[[#This Row],[Date]]*1</f>
        <v>45531</v>
      </c>
      <c r="B618" t="s">
        <v>41</v>
      </c>
      <c r="C618" t="s">
        <v>8</v>
      </c>
      <c r="D618" t="s">
        <v>9</v>
      </c>
      <c r="E618" t="s">
        <v>33</v>
      </c>
      <c r="F618" t="s">
        <v>32</v>
      </c>
      <c r="G618" s="2">
        <v>49</v>
      </c>
      <c r="H618" s="2">
        <v>835.56</v>
      </c>
      <c r="I618" s="2">
        <v>992.88</v>
      </c>
      <c r="J618" s="2">
        <v>40942.44</v>
      </c>
      <c r="K618" s="2">
        <v>48651.12</v>
      </c>
      <c r="L618" s="2">
        <v>7708.68</v>
      </c>
    </row>
    <row r="619" spans="1:12" x14ac:dyDescent="0.3">
      <c r="A619" s="6">
        <f ca="1">Table1[[#This Row],[Date]]*1</f>
        <v>45433</v>
      </c>
      <c r="B619" t="s">
        <v>28</v>
      </c>
      <c r="C619" t="s">
        <v>8</v>
      </c>
      <c r="D619" t="s">
        <v>42</v>
      </c>
      <c r="E619" t="s">
        <v>40</v>
      </c>
      <c r="F619" t="s">
        <v>29</v>
      </c>
      <c r="G619" s="2">
        <v>33</v>
      </c>
      <c r="H619" s="2">
        <v>237.32</v>
      </c>
      <c r="I619" s="2">
        <v>266.60000000000002</v>
      </c>
      <c r="J619" s="2">
        <v>7831.56</v>
      </c>
      <c r="K619" s="2">
        <v>8797.7999999999993</v>
      </c>
      <c r="L619" s="2">
        <v>966.24</v>
      </c>
    </row>
    <row r="620" spans="1:12" x14ac:dyDescent="0.3">
      <c r="A620" s="6">
        <f ca="1">Table1[[#This Row],[Date]]*1</f>
        <v>45435</v>
      </c>
      <c r="B620" t="s">
        <v>37</v>
      </c>
      <c r="C620" t="s">
        <v>2</v>
      </c>
      <c r="D620" t="s">
        <v>5</v>
      </c>
      <c r="E620" t="s">
        <v>31</v>
      </c>
      <c r="F620" t="s">
        <v>32</v>
      </c>
      <c r="G620" s="2">
        <v>22</v>
      </c>
      <c r="H620" s="2">
        <v>422.9</v>
      </c>
      <c r="I620" s="2">
        <v>466.36</v>
      </c>
      <c r="J620" s="2">
        <v>9303.7999999999993</v>
      </c>
      <c r="K620" s="2">
        <v>10259.92</v>
      </c>
      <c r="L620" s="2">
        <v>956.12</v>
      </c>
    </row>
    <row r="621" spans="1:12" x14ac:dyDescent="0.3">
      <c r="A621" s="6">
        <f ca="1">Table1[[#This Row],[Date]]*1</f>
        <v>45522</v>
      </c>
      <c r="B621" t="s">
        <v>30</v>
      </c>
      <c r="C621" t="s">
        <v>6</v>
      </c>
      <c r="D621" t="s">
        <v>17</v>
      </c>
      <c r="E621" t="s">
        <v>33</v>
      </c>
      <c r="F621" t="s">
        <v>29</v>
      </c>
      <c r="G621" s="2">
        <v>31</v>
      </c>
      <c r="H621" s="2">
        <v>582.04999999999995</v>
      </c>
      <c r="I621" s="2">
        <v>838.93</v>
      </c>
      <c r="J621" s="2">
        <v>18043.55</v>
      </c>
      <c r="K621" s="2">
        <v>26006.83</v>
      </c>
      <c r="L621" s="2">
        <v>7963.28</v>
      </c>
    </row>
    <row r="622" spans="1:12" x14ac:dyDescent="0.3">
      <c r="A622" s="6">
        <f ca="1">Table1[[#This Row],[Date]]*1</f>
        <v>45359</v>
      </c>
      <c r="B622" t="s">
        <v>39</v>
      </c>
      <c r="C622" t="s">
        <v>11</v>
      </c>
      <c r="D622" t="s">
        <v>13</v>
      </c>
      <c r="E622" t="s">
        <v>40</v>
      </c>
      <c r="F622" t="s">
        <v>32</v>
      </c>
      <c r="G622" s="2">
        <v>12</v>
      </c>
      <c r="H622" s="2">
        <v>205.46</v>
      </c>
      <c r="I622" s="2">
        <v>296.44</v>
      </c>
      <c r="J622" s="2">
        <v>2465.52</v>
      </c>
      <c r="K622" s="2">
        <v>3557.28</v>
      </c>
      <c r="L622" s="2">
        <v>1091.76</v>
      </c>
    </row>
    <row r="623" spans="1:12" x14ac:dyDescent="0.3">
      <c r="A623" s="6">
        <f ca="1">Table1[[#This Row],[Date]]*1</f>
        <v>45309</v>
      </c>
      <c r="B623" t="s">
        <v>36</v>
      </c>
      <c r="C623" t="s">
        <v>2</v>
      </c>
      <c r="D623" t="s">
        <v>3</v>
      </c>
      <c r="E623" t="s">
        <v>33</v>
      </c>
      <c r="F623" t="s">
        <v>32</v>
      </c>
      <c r="G623" s="2">
        <v>43</v>
      </c>
      <c r="H623" s="2">
        <v>619.77</v>
      </c>
      <c r="I623" s="2">
        <v>850.85</v>
      </c>
      <c r="J623" s="2">
        <v>26650.11</v>
      </c>
      <c r="K623" s="2">
        <v>36586.550000000003</v>
      </c>
      <c r="L623" s="2">
        <v>9936.44</v>
      </c>
    </row>
    <row r="624" spans="1:12" x14ac:dyDescent="0.3">
      <c r="A624" s="6">
        <f ca="1">Table1[[#This Row],[Date]]*1</f>
        <v>45394</v>
      </c>
      <c r="B624" t="s">
        <v>28</v>
      </c>
      <c r="C624" t="s">
        <v>8</v>
      </c>
      <c r="D624" t="s">
        <v>42</v>
      </c>
      <c r="E624" t="s">
        <v>43</v>
      </c>
      <c r="F624" t="s">
        <v>32</v>
      </c>
      <c r="G624" s="2">
        <v>8</v>
      </c>
      <c r="H624" s="2">
        <v>448.51</v>
      </c>
      <c r="I624" s="2">
        <v>501.68</v>
      </c>
      <c r="J624" s="2">
        <v>3588.08</v>
      </c>
      <c r="K624" s="2">
        <v>4013.44</v>
      </c>
      <c r="L624" s="2">
        <v>425.36</v>
      </c>
    </row>
    <row r="625" spans="1:12" x14ac:dyDescent="0.3">
      <c r="A625" s="6">
        <f ca="1">Table1[[#This Row],[Date]]*1</f>
        <v>45626</v>
      </c>
      <c r="B625" t="s">
        <v>37</v>
      </c>
      <c r="C625" t="s">
        <v>2</v>
      </c>
      <c r="D625" t="s">
        <v>3</v>
      </c>
      <c r="E625" t="s">
        <v>33</v>
      </c>
      <c r="F625" t="s">
        <v>29</v>
      </c>
      <c r="G625" s="2">
        <v>18</v>
      </c>
      <c r="H625" s="2">
        <v>986.11</v>
      </c>
      <c r="I625" s="2">
        <v>1291.05</v>
      </c>
      <c r="J625" s="2">
        <v>17749.98</v>
      </c>
      <c r="K625" s="2">
        <v>23238.9</v>
      </c>
      <c r="L625" s="2">
        <v>5488.92</v>
      </c>
    </row>
    <row r="626" spans="1:12" x14ac:dyDescent="0.3">
      <c r="A626" s="6">
        <f ca="1">Table1[[#This Row],[Date]]*1</f>
        <v>45577</v>
      </c>
      <c r="B626" t="s">
        <v>30</v>
      </c>
      <c r="C626" t="s">
        <v>6</v>
      </c>
      <c r="D626" t="s">
        <v>17</v>
      </c>
      <c r="E626" t="s">
        <v>33</v>
      </c>
      <c r="F626" t="s">
        <v>29</v>
      </c>
      <c r="G626" s="2">
        <v>40</v>
      </c>
      <c r="H626" s="2">
        <v>736.86</v>
      </c>
      <c r="I626" s="2">
        <v>935.51</v>
      </c>
      <c r="J626" s="2">
        <v>29474.400000000001</v>
      </c>
      <c r="K626" s="2">
        <v>37420.400000000001</v>
      </c>
      <c r="L626" s="2">
        <v>7946</v>
      </c>
    </row>
    <row r="627" spans="1:12" x14ac:dyDescent="0.3">
      <c r="A627" s="6">
        <f ca="1">Table1[[#This Row],[Date]]*1</f>
        <v>45398</v>
      </c>
      <c r="B627" t="s">
        <v>39</v>
      </c>
      <c r="C627" t="s">
        <v>8</v>
      </c>
      <c r="D627" t="s">
        <v>16</v>
      </c>
      <c r="E627" t="s">
        <v>43</v>
      </c>
      <c r="F627" t="s">
        <v>29</v>
      </c>
      <c r="G627" s="2">
        <v>11</v>
      </c>
      <c r="H627" s="2">
        <v>178.81</v>
      </c>
      <c r="I627" s="2">
        <v>225.27</v>
      </c>
      <c r="J627" s="2">
        <v>1966.91</v>
      </c>
      <c r="K627" s="2">
        <v>2477.9699999999998</v>
      </c>
      <c r="L627" s="2">
        <v>511.06</v>
      </c>
    </row>
    <row r="628" spans="1:12" x14ac:dyDescent="0.3">
      <c r="A628" s="6">
        <f ca="1">Table1[[#This Row],[Date]]*1</f>
        <v>45656</v>
      </c>
      <c r="B628" t="s">
        <v>36</v>
      </c>
      <c r="C628" t="s">
        <v>11</v>
      </c>
      <c r="D628" t="s">
        <v>15</v>
      </c>
      <c r="E628" t="s">
        <v>31</v>
      </c>
      <c r="F628" t="s">
        <v>32</v>
      </c>
      <c r="G628" s="2">
        <v>44</v>
      </c>
      <c r="H628" s="2">
        <v>472.45</v>
      </c>
      <c r="I628" s="2">
        <v>594.95000000000005</v>
      </c>
      <c r="J628" s="2">
        <v>20787.8</v>
      </c>
      <c r="K628" s="2">
        <v>26177.8</v>
      </c>
      <c r="L628" s="2">
        <v>5390</v>
      </c>
    </row>
    <row r="629" spans="1:12" x14ac:dyDescent="0.3">
      <c r="A629" s="6">
        <f ca="1">Table1[[#This Row],[Date]]*1</f>
        <v>45559</v>
      </c>
      <c r="B629" t="s">
        <v>30</v>
      </c>
      <c r="C629" t="s">
        <v>11</v>
      </c>
      <c r="D629" t="s">
        <v>13</v>
      </c>
      <c r="E629" t="s">
        <v>35</v>
      </c>
      <c r="F629" t="s">
        <v>29</v>
      </c>
      <c r="G629" s="2">
        <v>29</v>
      </c>
      <c r="H629" s="2">
        <v>246.41</v>
      </c>
      <c r="I629" s="2">
        <v>319.89999999999998</v>
      </c>
      <c r="J629" s="2">
        <v>7145.89</v>
      </c>
      <c r="K629" s="2">
        <v>9277.1</v>
      </c>
      <c r="L629" s="2">
        <v>2131.21</v>
      </c>
    </row>
    <row r="630" spans="1:12" x14ac:dyDescent="0.3">
      <c r="A630" s="6">
        <f ca="1">Table1[[#This Row],[Date]]*1</f>
        <v>45444</v>
      </c>
      <c r="B630" t="s">
        <v>34</v>
      </c>
      <c r="C630" t="s">
        <v>6</v>
      </c>
      <c r="D630" t="s">
        <v>17</v>
      </c>
      <c r="E630" t="s">
        <v>35</v>
      </c>
      <c r="F630" t="s">
        <v>29</v>
      </c>
      <c r="G630" s="2">
        <v>45</v>
      </c>
      <c r="H630" s="2">
        <v>685.88</v>
      </c>
      <c r="I630" s="2">
        <v>834.94</v>
      </c>
      <c r="J630" s="2">
        <v>30864.6</v>
      </c>
      <c r="K630" s="2">
        <v>37572.300000000003</v>
      </c>
      <c r="L630" s="2">
        <v>6707.7</v>
      </c>
    </row>
    <row r="631" spans="1:12" x14ac:dyDescent="0.3">
      <c r="A631" s="6">
        <f ca="1">Table1[[#This Row],[Date]]*1</f>
        <v>45578</v>
      </c>
      <c r="B631" t="s">
        <v>36</v>
      </c>
      <c r="C631" t="s">
        <v>2</v>
      </c>
      <c r="D631" t="s">
        <v>3</v>
      </c>
      <c r="E631" t="s">
        <v>35</v>
      </c>
      <c r="F631" t="s">
        <v>32</v>
      </c>
      <c r="G631" s="2">
        <v>1</v>
      </c>
      <c r="H631" s="2">
        <v>617.11</v>
      </c>
      <c r="I631" s="2">
        <v>802.03</v>
      </c>
      <c r="J631" s="2">
        <v>617.11</v>
      </c>
      <c r="K631" s="2">
        <v>802.03</v>
      </c>
      <c r="L631" s="2">
        <v>184.92</v>
      </c>
    </row>
    <row r="632" spans="1:12" x14ac:dyDescent="0.3">
      <c r="A632" s="6">
        <f ca="1">Table1[[#This Row],[Date]]*1</f>
        <v>45505</v>
      </c>
      <c r="B632" t="s">
        <v>44</v>
      </c>
      <c r="C632" t="s">
        <v>6</v>
      </c>
      <c r="D632" t="s">
        <v>17</v>
      </c>
      <c r="E632" t="s">
        <v>33</v>
      </c>
      <c r="F632" t="s">
        <v>29</v>
      </c>
      <c r="G632" s="2">
        <v>3</v>
      </c>
      <c r="H632" s="2">
        <v>383.38</v>
      </c>
      <c r="I632" s="2">
        <v>474.11</v>
      </c>
      <c r="J632" s="2">
        <v>1150.1400000000001</v>
      </c>
      <c r="K632" s="2">
        <v>1422.33</v>
      </c>
      <c r="L632" s="2">
        <v>272.19</v>
      </c>
    </row>
    <row r="633" spans="1:12" x14ac:dyDescent="0.3">
      <c r="A633" s="6">
        <f ca="1">Table1[[#This Row],[Date]]*1</f>
        <v>45316</v>
      </c>
      <c r="B633" t="s">
        <v>41</v>
      </c>
      <c r="C633" t="s">
        <v>6</v>
      </c>
      <c r="D633" t="s">
        <v>10</v>
      </c>
      <c r="E633" t="s">
        <v>33</v>
      </c>
      <c r="F633" t="s">
        <v>29</v>
      </c>
      <c r="G633" s="2">
        <v>35</v>
      </c>
      <c r="H633" s="2">
        <v>518.22</v>
      </c>
      <c r="I633" s="2">
        <v>619.16999999999996</v>
      </c>
      <c r="J633" s="2">
        <v>18137.7</v>
      </c>
      <c r="K633" s="2">
        <v>21670.95</v>
      </c>
      <c r="L633" s="2">
        <v>3533.25</v>
      </c>
    </row>
    <row r="634" spans="1:12" x14ac:dyDescent="0.3">
      <c r="A634" s="6">
        <f ca="1">Table1[[#This Row],[Date]]*1</f>
        <v>45389</v>
      </c>
      <c r="B634" t="s">
        <v>39</v>
      </c>
      <c r="C634" t="s">
        <v>11</v>
      </c>
      <c r="D634" t="s">
        <v>15</v>
      </c>
      <c r="E634" t="s">
        <v>40</v>
      </c>
      <c r="F634" t="s">
        <v>29</v>
      </c>
      <c r="G634" s="2">
        <v>13</v>
      </c>
      <c r="H634" s="2">
        <v>966.73</v>
      </c>
      <c r="I634" s="2">
        <v>1370.07</v>
      </c>
      <c r="J634" s="2">
        <v>12567.49</v>
      </c>
      <c r="K634" s="2">
        <v>17810.91</v>
      </c>
      <c r="L634" s="2">
        <v>5243.42</v>
      </c>
    </row>
    <row r="635" spans="1:12" x14ac:dyDescent="0.3">
      <c r="A635" s="6">
        <f ca="1">Table1[[#This Row],[Date]]*1</f>
        <v>45510</v>
      </c>
      <c r="B635" t="s">
        <v>39</v>
      </c>
      <c r="C635" t="s">
        <v>6</v>
      </c>
      <c r="D635" t="s">
        <v>17</v>
      </c>
      <c r="E635" t="s">
        <v>31</v>
      </c>
      <c r="F635" t="s">
        <v>29</v>
      </c>
      <c r="G635" s="2">
        <v>6</v>
      </c>
      <c r="H635" s="2">
        <v>330.4</v>
      </c>
      <c r="I635" s="2">
        <v>372.13</v>
      </c>
      <c r="J635" s="2">
        <v>1982.4</v>
      </c>
      <c r="K635" s="2">
        <v>2232.7800000000002</v>
      </c>
      <c r="L635" s="2">
        <v>250.38</v>
      </c>
    </row>
    <row r="636" spans="1:12" x14ac:dyDescent="0.3">
      <c r="A636" s="6">
        <f ca="1">Table1[[#This Row],[Date]]*1</f>
        <v>45394</v>
      </c>
      <c r="B636" t="s">
        <v>44</v>
      </c>
      <c r="C636" t="s">
        <v>6</v>
      </c>
      <c r="D636" t="s">
        <v>17</v>
      </c>
      <c r="E636" t="s">
        <v>43</v>
      </c>
      <c r="F636" t="s">
        <v>32</v>
      </c>
      <c r="G636" s="2">
        <v>32</v>
      </c>
      <c r="H636" s="2">
        <v>209.63</v>
      </c>
      <c r="I636" s="2">
        <v>232.65</v>
      </c>
      <c r="J636" s="2">
        <v>6708.16</v>
      </c>
      <c r="K636" s="2">
        <v>7444.8</v>
      </c>
      <c r="L636" s="2">
        <v>736.64</v>
      </c>
    </row>
    <row r="637" spans="1:12" x14ac:dyDescent="0.3">
      <c r="A637" s="6">
        <f ca="1">Table1[[#This Row],[Date]]*1</f>
        <v>45649</v>
      </c>
      <c r="B637" t="s">
        <v>41</v>
      </c>
      <c r="C637" t="s">
        <v>8</v>
      </c>
      <c r="D637" t="s">
        <v>42</v>
      </c>
      <c r="E637" t="s">
        <v>31</v>
      </c>
      <c r="F637" t="s">
        <v>32</v>
      </c>
      <c r="G637" s="2">
        <v>25</v>
      </c>
      <c r="H637" s="2">
        <v>373.1</v>
      </c>
      <c r="I637" s="2">
        <v>506.73</v>
      </c>
      <c r="J637" s="2">
        <v>9327.5</v>
      </c>
      <c r="K637" s="2">
        <v>12668.25</v>
      </c>
      <c r="L637" s="2">
        <v>3340.75</v>
      </c>
    </row>
    <row r="638" spans="1:12" x14ac:dyDescent="0.3">
      <c r="A638" s="6">
        <f ca="1">Table1[[#This Row],[Date]]*1</f>
        <v>45523</v>
      </c>
      <c r="B638" t="s">
        <v>37</v>
      </c>
      <c r="C638" t="s">
        <v>11</v>
      </c>
      <c r="D638" t="s">
        <v>15</v>
      </c>
      <c r="E638" t="s">
        <v>31</v>
      </c>
      <c r="F638" t="s">
        <v>29</v>
      </c>
      <c r="G638" s="2">
        <v>43</v>
      </c>
      <c r="H638" s="2">
        <v>117.6</v>
      </c>
      <c r="I638" s="2">
        <v>166.76</v>
      </c>
      <c r="J638" s="2">
        <v>5056.8</v>
      </c>
      <c r="K638" s="2">
        <v>7170.68</v>
      </c>
      <c r="L638" s="2">
        <v>2113.88</v>
      </c>
    </row>
    <row r="639" spans="1:12" x14ac:dyDescent="0.3">
      <c r="A639" s="6">
        <f ca="1">Table1[[#This Row],[Date]]*1</f>
        <v>45398</v>
      </c>
      <c r="B639" t="s">
        <v>36</v>
      </c>
      <c r="C639" t="s">
        <v>2</v>
      </c>
      <c r="D639" t="s">
        <v>3</v>
      </c>
      <c r="E639" t="s">
        <v>33</v>
      </c>
      <c r="F639" t="s">
        <v>29</v>
      </c>
      <c r="G639" s="2">
        <v>5</v>
      </c>
      <c r="H639" s="2">
        <v>592.79</v>
      </c>
      <c r="I639" s="2">
        <v>713.12</v>
      </c>
      <c r="J639" s="2">
        <v>2963.95</v>
      </c>
      <c r="K639" s="2">
        <v>3565.6</v>
      </c>
      <c r="L639" s="2">
        <v>601.65</v>
      </c>
    </row>
    <row r="640" spans="1:12" x14ac:dyDescent="0.3">
      <c r="A640" s="6">
        <f ca="1">Table1[[#This Row],[Date]]*1</f>
        <v>45654</v>
      </c>
      <c r="B640" t="s">
        <v>30</v>
      </c>
      <c r="C640" t="s">
        <v>6</v>
      </c>
      <c r="D640" t="s">
        <v>7</v>
      </c>
      <c r="E640" t="s">
        <v>35</v>
      </c>
      <c r="F640" t="s">
        <v>29</v>
      </c>
      <c r="G640" s="2">
        <v>45</v>
      </c>
      <c r="H640" s="2">
        <v>895.91</v>
      </c>
      <c r="I640" s="2">
        <v>1175.99</v>
      </c>
      <c r="J640" s="2">
        <v>40315.949999999997</v>
      </c>
      <c r="K640" s="2">
        <v>52919.55</v>
      </c>
      <c r="L640" s="2">
        <v>12603.6</v>
      </c>
    </row>
    <row r="641" spans="1:12" x14ac:dyDescent="0.3">
      <c r="A641" s="6">
        <f ca="1">Table1[[#This Row],[Date]]*1</f>
        <v>45336</v>
      </c>
      <c r="B641" t="s">
        <v>38</v>
      </c>
      <c r="C641" t="s">
        <v>11</v>
      </c>
      <c r="D641" t="s">
        <v>13</v>
      </c>
      <c r="E641" t="s">
        <v>33</v>
      </c>
      <c r="F641" t="s">
        <v>32</v>
      </c>
      <c r="G641" s="2">
        <v>15</v>
      </c>
      <c r="H641" s="2">
        <v>477.97</v>
      </c>
      <c r="I641" s="2">
        <v>532.51</v>
      </c>
      <c r="J641" s="2">
        <v>7169.55</v>
      </c>
      <c r="K641" s="2">
        <v>7987.65</v>
      </c>
      <c r="L641" s="2">
        <v>818.1</v>
      </c>
    </row>
    <row r="642" spans="1:12" x14ac:dyDescent="0.3">
      <c r="A642" s="6">
        <f ca="1">Table1[[#This Row],[Date]]*1</f>
        <v>45595</v>
      </c>
      <c r="B642" t="s">
        <v>39</v>
      </c>
      <c r="C642" t="s">
        <v>2</v>
      </c>
      <c r="D642" t="s">
        <v>5</v>
      </c>
      <c r="E642" t="s">
        <v>33</v>
      </c>
      <c r="F642" t="s">
        <v>29</v>
      </c>
      <c r="G642" s="2">
        <v>28</v>
      </c>
      <c r="H642" s="2">
        <v>136.96</v>
      </c>
      <c r="I642" s="2">
        <v>196.5</v>
      </c>
      <c r="J642" s="2">
        <v>3834.88</v>
      </c>
      <c r="K642" s="2">
        <v>5502</v>
      </c>
      <c r="L642" s="2">
        <v>1667.12</v>
      </c>
    </row>
    <row r="643" spans="1:12" x14ac:dyDescent="0.3">
      <c r="A643" s="6">
        <f ca="1">Table1[[#This Row],[Date]]*1</f>
        <v>45357</v>
      </c>
      <c r="B643" t="s">
        <v>41</v>
      </c>
      <c r="C643" t="s">
        <v>2</v>
      </c>
      <c r="D643" t="s">
        <v>5</v>
      </c>
      <c r="E643" t="s">
        <v>35</v>
      </c>
      <c r="F643" t="s">
        <v>29</v>
      </c>
      <c r="G643" s="2">
        <v>3</v>
      </c>
      <c r="H643" s="2">
        <v>460.36</v>
      </c>
      <c r="I643" s="2">
        <v>672.24</v>
      </c>
      <c r="J643" s="2">
        <v>1381.08</v>
      </c>
      <c r="K643" s="2">
        <v>2016.72</v>
      </c>
      <c r="L643" s="2">
        <v>635.64</v>
      </c>
    </row>
    <row r="644" spans="1:12" x14ac:dyDescent="0.3">
      <c r="A644" s="6">
        <f ca="1">Table1[[#This Row],[Date]]*1</f>
        <v>45542</v>
      </c>
      <c r="B644" t="s">
        <v>39</v>
      </c>
      <c r="C644" t="s">
        <v>11</v>
      </c>
      <c r="D644" t="s">
        <v>12</v>
      </c>
      <c r="E644" t="s">
        <v>40</v>
      </c>
      <c r="F644" t="s">
        <v>32</v>
      </c>
      <c r="G644" s="2">
        <v>32</v>
      </c>
      <c r="H644" s="2">
        <v>243.47</v>
      </c>
      <c r="I644" s="2">
        <v>269.39</v>
      </c>
      <c r="J644" s="2">
        <v>7791.04</v>
      </c>
      <c r="K644" s="2">
        <v>8620.48</v>
      </c>
      <c r="L644" s="2">
        <v>829.44</v>
      </c>
    </row>
    <row r="645" spans="1:12" x14ac:dyDescent="0.3">
      <c r="A645" s="6">
        <f ca="1">Table1[[#This Row],[Date]]*1</f>
        <v>45367</v>
      </c>
      <c r="B645" t="s">
        <v>44</v>
      </c>
      <c r="C645" t="s">
        <v>11</v>
      </c>
      <c r="D645" t="s">
        <v>13</v>
      </c>
      <c r="E645" t="s">
        <v>33</v>
      </c>
      <c r="F645" t="s">
        <v>32</v>
      </c>
      <c r="G645" s="2">
        <v>28</v>
      </c>
      <c r="H645" s="2">
        <v>903.74</v>
      </c>
      <c r="I645" s="2">
        <v>1212.78</v>
      </c>
      <c r="J645" s="2">
        <v>25304.720000000001</v>
      </c>
      <c r="K645" s="2">
        <v>33957.839999999997</v>
      </c>
      <c r="L645" s="2">
        <v>8653.1200000000008</v>
      </c>
    </row>
    <row r="646" spans="1:12" x14ac:dyDescent="0.3">
      <c r="A646" s="6">
        <f ca="1">Table1[[#This Row],[Date]]*1</f>
        <v>45452</v>
      </c>
      <c r="B646" t="s">
        <v>28</v>
      </c>
      <c r="C646" t="s">
        <v>6</v>
      </c>
      <c r="D646" t="s">
        <v>7</v>
      </c>
      <c r="E646" t="s">
        <v>4</v>
      </c>
      <c r="F646" t="s">
        <v>32</v>
      </c>
      <c r="G646" s="2">
        <v>45</v>
      </c>
      <c r="H646" s="2">
        <v>230.99</v>
      </c>
      <c r="I646" s="2">
        <v>326.60000000000002</v>
      </c>
      <c r="J646" s="2">
        <v>10394.549999999999</v>
      </c>
      <c r="K646" s="2">
        <v>14697</v>
      </c>
      <c r="L646" s="2">
        <v>4302.45</v>
      </c>
    </row>
    <row r="647" spans="1:12" x14ac:dyDescent="0.3">
      <c r="A647" s="6">
        <f ca="1">Table1[[#This Row],[Date]]*1</f>
        <v>45467</v>
      </c>
      <c r="B647" t="s">
        <v>34</v>
      </c>
      <c r="C647" t="s">
        <v>8</v>
      </c>
      <c r="D647" t="s">
        <v>16</v>
      </c>
      <c r="E647" t="s">
        <v>40</v>
      </c>
      <c r="F647" t="s">
        <v>29</v>
      </c>
      <c r="G647" s="2">
        <v>17</v>
      </c>
      <c r="H647" s="2">
        <v>952.66</v>
      </c>
      <c r="I647" s="2">
        <v>1425.91</v>
      </c>
      <c r="J647" s="2">
        <v>16195.22</v>
      </c>
      <c r="K647" s="2">
        <v>24240.47</v>
      </c>
      <c r="L647" s="2">
        <v>8045.25</v>
      </c>
    </row>
    <row r="648" spans="1:12" x14ac:dyDescent="0.3">
      <c r="A648" s="6">
        <f ca="1">Table1[[#This Row],[Date]]*1</f>
        <v>45425</v>
      </c>
      <c r="B648" t="s">
        <v>45</v>
      </c>
      <c r="C648" t="s">
        <v>8</v>
      </c>
      <c r="D648" t="s">
        <v>42</v>
      </c>
      <c r="E648" t="s">
        <v>40</v>
      </c>
      <c r="F648" t="s">
        <v>32</v>
      </c>
      <c r="G648" s="2">
        <v>1</v>
      </c>
      <c r="H648" s="2">
        <v>645.94000000000005</v>
      </c>
      <c r="I648" s="2">
        <v>909.87</v>
      </c>
      <c r="J648" s="2">
        <v>645.94000000000005</v>
      </c>
      <c r="K648" s="2">
        <v>909.87</v>
      </c>
      <c r="L648" s="2">
        <v>263.93</v>
      </c>
    </row>
    <row r="649" spans="1:12" x14ac:dyDescent="0.3">
      <c r="A649" s="6">
        <f ca="1">Table1[[#This Row],[Date]]*1</f>
        <v>45507</v>
      </c>
      <c r="B649" t="s">
        <v>39</v>
      </c>
      <c r="C649" t="s">
        <v>6</v>
      </c>
      <c r="D649" t="s">
        <v>7</v>
      </c>
      <c r="E649" t="s">
        <v>33</v>
      </c>
      <c r="F649" t="s">
        <v>32</v>
      </c>
      <c r="G649" s="2">
        <v>36</v>
      </c>
      <c r="H649" s="2">
        <v>569.24</v>
      </c>
      <c r="I649" s="2">
        <v>647.24</v>
      </c>
      <c r="J649" s="2">
        <v>20492.64</v>
      </c>
      <c r="K649" s="2">
        <v>23300.639999999999</v>
      </c>
      <c r="L649" s="2">
        <v>2808</v>
      </c>
    </row>
    <row r="650" spans="1:12" x14ac:dyDescent="0.3">
      <c r="A650" s="6">
        <f ca="1">Table1[[#This Row],[Date]]*1</f>
        <v>45433</v>
      </c>
      <c r="B650" t="s">
        <v>30</v>
      </c>
      <c r="C650" t="s">
        <v>11</v>
      </c>
      <c r="D650" t="s">
        <v>13</v>
      </c>
      <c r="E650" t="s">
        <v>4</v>
      </c>
      <c r="F650" t="s">
        <v>32</v>
      </c>
      <c r="G650" s="2">
        <v>21</v>
      </c>
      <c r="H650" s="2">
        <v>193.09</v>
      </c>
      <c r="I650" s="2">
        <v>228.12</v>
      </c>
      <c r="J650" s="2">
        <v>4054.89</v>
      </c>
      <c r="K650" s="2">
        <v>4790.5200000000004</v>
      </c>
      <c r="L650" s="2">
        <v>735.63</v>
      </c>
    </row>
    <row r="651" spans="1:12" x14ac:dyDescent="0.3">
      <c r="A651" s="6">
        <f ca="1">Table1[[#This Row],[Date]]*1</f>
        <v>45448</v>
      </c>
      <c r="B651" t="s">
        <v>38</v>
      </c>
      <c r="C651" t="s">
        <v>11</v>
      </c>
      <c r="D651" t="s">
        <v>15</v>
      </c>
      <c r="E651" t="s">
        <v>40</v>
      </c>
      <c r="F651" t="s">
        <v>32</v>
      </c>
      <c r="G651" s="2">
        <v>23</v>
      </c>
      <c r="H651" s="2">
        <v>631.25</v>
      </c>
      <c r="I651" s="2">
        <v>854.65</v>
      </c>
      <c r="J651" s="2">
        <v>14518.75</v>
      </c>
      <c r="K651" s="2">
        <v>19656.95</v>
      </c>
      <c r="L651" s="2">
        <v>5138.2</v>
      </c>
    </row>
    <row r="652" spans="1:12" x14ac:dyDescent="0.3">
      <c r="A652" s="6">
        <f ca="1">Table1[[#This Row],[Date]]*1</f>
        <v>45557</v>
      </c>
      <c r="B652" t="s">
        <v>44</v>
      </c>
      <c r="C652" t="s">
        <v>8</v>
      </c>
      <c r="D652" t="s">
        <v>16</v>
      </c>
      <c r="E652" t="s">
        <v>35</v>
      </c>
      <c r="F652" t="s">
        <v>32</v>
      </c>
      <c r="G652" s="2">
        <v>14</v>
      </c>
      <c r="H652" s="2">
        <v>736.14</v>
      </c>
      <c r="I652" s="2">
        <v>943.52</v>
      </c>
      <c r="J652" s="2">
        <v>10305.959999999999</v>
      </c>
      <c r="K652" s="2">
        <v>13209.28</v>
      </c>
      <c r="L652" s="2">
        <v>2903.32</v>
      </c>
    </row>
    <row r="653" spans="1:12" x14ac:dyDescent="0.3">
      <c r="A653" s="6">
        <f ca="1">Table1[[#This Row],[Date]]*1</f>
        <v>45306</v>
      </c>
      <c r="B653" t="s">
        <v>36</v>
      </c>
      <c r="C653" t="s">
        <v>11</v>
      </c>
      <c r="D653" t="s">
        <v>13</v>
      </c>
      <c r="E653" t="s">
        <v>33</v>
      </c>
      <c r="F653" t="s">
        <v>29</v>
      </c>
      <c r="G653" s="2">
        <v>31</v>
      </c>
      <c r="H653" s="2">
        <v>911.45</v>
      </c>
      <c r="I653" s="2">
        <v>1103.75</v>
      </c>
      <c r="J653" s="2">
        <v>28254.95</v>
      </c>
      <c r="K653" s="2">
        <v>34216.25</v>
      </c>
      <c r="L653" s="2">
        <v>5961.3</v>
      </c>
    </row>
    <row r="654" spans="1:12" x14ac:dyDescent="0.3">
      <c r="A654" s="6">
        <f ca="1">Table1[[#This Row],[Date]]*1</f>
        <v>45547</v>
      </c>
      <c r="B654" t="s">
        <v>28</v>
      </c>
      <c r="C654" t="s">
        <v>11</v>
      </c>
      <c r="D654" t="s">
        <v>15</v>
      </c>
      <c r="E654" t="s">
        <v>40</v>
      </c>
      <c r="F654" t="s">
        <v>29</v>
      </c>
      <c r="G654" s="2">
        <v>11</v>
      </c>
      <c r="H654" s="2">
        <v>697.86</v>
      </c>
      <c r="I654" s="2">
        <v>936.3</v>
      </c>
      <c r="J654" s="2">
        <v>7676.46</v>
      </c>
      <c r="K654" s="2">
        <v>10299.299999999999</v>
      </c>
      <c r="L654" s="2">
        <v>2622.84</v>
      </c>
    </row>
    <row r="655" spans="1:12" x14ac:dyDescent="0.3">
      <c r="A655" s="6">
        <f ca="1">Table1[[#This Row],[Date]]*1</f>
        <v>45294</v>
      </c>
      <c r="B655" t="s">
        <v>38</v>
      </c>
      <c r="C655" t="s">
        <v>11</v>
      </c>
      <c r="D655" t="s">
        <v>13</v>
      </c>
      <c r="E655" t="s">
        <v>43</v>
      </c>
      <c r="F655" t="s">
        <v>32</v>
      </c>
      <c r="G655" s="2">
        <v>46</v>
      </c>
      <c r="H655" s="2">
        <v>732.57</v>
      </c>
      <c r="I655" s="2">
        <v>863.21</v>
      </c>
      <c r="J655" s="2">
        <v>33698.22</v>
      </c>
      <c r="K655" s="2">
        <v>39707.660000000003</v>
      </c>
      <c r="L655" s="2">
        <v>6009.44</v>
      </c>
    </row>
    <row r="656" spans="1:12" x14ac:dyDescent="0.3">
      <c r="A656" s="6">
        <f ca="1">Table1[[#This Row],[Date]]*1</f>
        <v>45326</v>
      </c>
      <c r="B656" t="s">
        <v>37</v>
      </c>
      <c r="C656" t="s">
        <v>11</v>
      </c>
      <c r="D656" t="s">
        <v>13</v>
      </c>
      <c r="E656" t="s">
        <v>35</v>
      </c>
      <c r="F656" t="s">
        <v>29</v>
      </c>
      <c r="G656" s="2">
        <v>27</v>
      </c>
      <c r="H656" s="2">
        <v>437.61</v>
      </c>
      <c r="I656" s="2">
        <v>548.54</v>
      </c>
      <c r="J656" s="2">
        <v>11815.47</v>
      </c>
      <c r="K656" s="2">
        <v>14810.58</v>
      </c>
      <c r="L656" s="2">
        <v>2995.11</v>
      </c>
    </row>
    <row r="657" spans="1:12" x14ac:dyDescent="0.3">
      <c r="A657" s="6">
        <f ca="1">Table1[[#This Row],[Date]]*1</f>
        <v>45569</v>
      </c>
      <c r="B657" t="s">
        <v>30</v>
      </c>
      <c r="C657" t="s">
        <v>8</v>
      </c>
      <c r="D657" t="s">
        <v>42</v>
      </c>
      <c r="E657" t="s">
        <v>40</v>
      </c>
      <c r="F657" t="s">
        <v>29</v>
      </c>
      <c r="G657" s="2">
        <v>40</v>
      </c>
      <c r="H657" s="2">
        <v>307.58</v>
      </c>
      <c r="I657" s="2">
        <v>448.43</v>
      </c>
      <c r="J657" s="2">
        <v>12303.2</v>
      </c>
      <c r="K657" s="2">
        <v>17937.2</v>
      </c>
      <c r="L657" s="2">
        <v>5634</v>
      </c>
    </row>
    <row r="658" spans="1:12" x14ac:dyDescent="0.3">
      <c r="A658" s="6">
        <f ca="1">Table1[[#This Row],[Date]]*1</f>
        <v>45429</v>
      </c>
      <c r="B658" t="s">
        <v>36</v>
      </c>
      <c r="C658" t="s">
        <v>6</v>
      </c>
      <c r="D658" t="s">
        <v>7</v>
      </c>
      <c r="E658" t="s">
        <v>35</v>
      </c>
      <c r="F658" t="s">
        <v>32</v>
      </c>
      <c r="G658" s="2">
        <v>34</v>
      </c>
      <c r="H658" s="2">
        <v>511.92</v>
      </c>
      <c r="I658" s="2">
        <v>708.38</v>
      </c>
      <c r="J658" s="2">
        <v>17405.28</v>
      </c>
      <c r="K658" s="2">
        <v>24084.92</v>
      </c>
      <c r="L658" s="2">
        <v>6679.64</v>
      </c>
    </row>
    <row r="659" spans="1:12" x14ac:dyDescent="0.3">
      <c r="A659" s="6">
        <f ca="1">Table1[[#This Row],[Date]]*1</f>
        <v>45357</v>
      </c>
      <c r="B659" t="s">
        <v>38</v>
      </c>
      <c r="C659" t="s">
        <v>11</v>
      </c>
      <c r="D659" t="s">
        <v>13</v>
      </c>
      <c r="E659" t="s">
        <v>4</v>
      </c>
      <c r="F659" t="s">
        <v>32</v>
      </c>
      <c r="G659" s="2">
        <v>23</v>
      </c>
      <c r="H659" s="2">
        <v>397.88</v>
      </c>
      <c r="I659" s="2">
        <v>494.34</v>
      </c>
      <c r="J659" s="2">
        <v>9151.24</v>
      </c>
      <c r="K659" s="2">
        <v>11369.82</v>
      </c>
      <c r="L659" s="2">
        <v>2218.58</v>
      </c>
    </row>
    <row r="660" spans="1:12" x14ac:dyDescent="0.3">
      <c r="A660" s="6">
        <f ca="1">Table1[[#This Row],[Date]]*1</f>
        <v>45339</v>
      </c>
      <c r="B660" t="s">
        <v>28</v>
      </c>
      <c r="C660" t="s">
        <v>2</v>
      </c>
      <c r="D660" t="s">
        <v>5</v>
      </c>
      <c r="E660" t="s">
        <v>43</v>
      </c>
      <c r="F660" t="s">
        <v>32</v>
      </c>
      <c r="G660" s="2">
        <v>44</v>
      </c>
      <c r="H660" s="2">
        <v>485.18</v>
      </c>
      <c r="I660" s="2">
        <v>655.92</v>
      </c>
      <c r="J660" s="2">
        <v>21347.919999999998</v>
      </c>
      <c r="K660" s="2">
        <v>28860.48</v>
      </c>
      <c r="L660" s="2">
        <v>7512.56</v>
      </c>
    </row>
    <row r="661" spans="1:12" x14ac:dyDescent="0.3">
      <c r="A661" s="6">
        <f ca="1">Table1[[#This Row],[Date]]*1</f>
        <v>45336</v>
      </c>
      <c r="B661" t="s">
        <v>39</v>
      </c>
      <c r="C661" t="s">
        <v>6</v>
      </c>
      <c r="D661" t="s">
        <v>10</v>
      </c>
      <c r="E661" t="s">
        <v>43</v>
      </c>
      <c r="F661" t="s">
        <v>29</v>
      </c>
      <c r="G661" s="2">
        <v>43</v>
      </c>
      <c r="H661" s="2">
        <v>432.65</v>
      </c>
      <c r="I661" s="2">
        <v>584.28</v>
      </c>
      <c r="J661" s="2">
        <v>18603.95</v>
      </c>
      <c r="K661" s="2">
        <v>25124.04</v>
      </c>
      <c r="L661" s="2">
        <v>6520.09</v>
      </c>
    </row>
    <row r="662" spans="1:12" x14ac:dyDescent="0.3">
      <c r="A662" s="6">
        <f ca="1">Table1[[#This Row],[Date]]*1</f>
        <v>45623</v>
      </c>
      <c r="B662" t="s">
        <v>38</v>
      </c>
      <c r="C662" t="s">
        <v>6</v>
      </c>
      <c r="D662" t="s">
        <v>17</v>
      </c>
      <c r="E662" t="s">
        <v>43</v>
      </c>
      <c r="F662" t="s">
        <v>32</v>
      </c>
      <c r="G662" s="2">
        <v>28</v>
      </c>
      <c r="H662" s="2">
        <v>562.88</v>
      </c>
      <c r="I662" s="2">
        <v>621.53</v>
      </c>
      <c r="J662" s="2">
        <v>15760.64</v>
      </c>
      <c r="K662" s="2">
        <v>17402.84</v>
      </c>
      <c r="L662" s="2">
        <v>1642.2</v>
      </c>
    </row>
    <row r="663" spans="1:12" x14ac:dyDescent="0.3">
      <c r="A663" s="6">
        <f ca="1">Table1[[#This Row],[Date]]*1</f>
        <v>45524</v>
      </c>
      <c r="B663" t="s">
        <v>34</v>
      </c>
      <c r="C663" t="s">
        <v>6</v>
      </c>
      <c r="D663" t="s">
        <v>7</v>
      </c>
      <c r="E663" t="s">
        <v>4</v>
      </c>
      <c r="F663" t="s">
        <v>32</v>
      </c>
      <c r="G663" s="2">
        <v>21</v>
      </c>
      <c r="H663" s="2">
        <v>908.9</v>
      </c>
      <c r="I663" s="2">
        <v>1115.21</v>
      </c>
      <c r="J663" s="2">
        <v>19086.900000000001</v>
      </c>
      <c r="K663" s="2">
        <v>23419.41</v>
      </c>
      <c r="L663" s="2">
        <v>4332.51</v>
      </c>
    </row>
    <row r="664" spans="1:12" x14ac:dyDescent="0.3">
      <c r="A664" s="6">
        <f ca="1">Table1[[#This Row],[Date]]*1</f>
        <v>45630</v>
      </c>
      <c r="B664" t="s">
        <v>37</v>
      </c>
      <c r="C664" t="s">
        <v>8</v>
      </c>
      <c r="D664" t="s">
        <v>42</v>
      </c>
      <c r="E664" t="s">
        <v>43</v>
      </c>
      <c r="F664" t="s">
        <v>29</v>
      </c>
      <c r="G664" s="2">
        <v>26</v>
      </c>
      <c r="H664" s="2">
        <v>705.9</v>
      </c>
      <c r="I664" s="2">
        <v>1045.53</v>
      </c>
      <c r="J664" s="2">
        <v>18353.400000000001</v>
      </c>
      <c r="K664" s="2">
        <v>27183.78</v>
      </c>
      <c r="L664" s="2">
        <v>8830.3799999999992</v>
      </c>
    </row>
    <row r="665" spans="1:12" x14ac:dyDescent="0.3">
      <c r="A665" s="6">
        <f ca="1">Table1[[#This Row],[Date]]*1</f>
        <v>45510</v>
      </c>
      <c r="B665" t="s">
        <v>37</v>
      </c>
      <c r="C665" t="s">
        <v>8</v>
      </c>
      <c r="D665" t="s">
        <v>42</v>
      </c>
      <c r="E665" t="s">
        <v>35</v>
      </c>
      <c r="F665" t="s">
        <v>32</v>
      </c>
      <c r="G665" s="2">
        <v>16</v>
      </c>
      <c r="H665" s="2">
        <v>817.57</v>
      </c>
      <c r="I665" s="2">
        <v>1171.8599999999999</v>
      </c>
      <c r="J665" s="2">
        <v>13081.12</v>
      </c>
      <c r="K665" s="2">
        <v>18749.759999999998</v>
      </c>
      <c r="L665" s="2">
        <v>5668.64</v>
      </c>
    </row>
    <row r="666" spans="1:12" x14ac:dyDescent="0.3">
      <c r="A666" s="6">
        <f ca="1">Table1[[#This Row],[Date]]*1</f>
        <v>45555</v>
      </c>
      <c r="B666" t="s">
        <v>34</v>
      </c>
      <c r="C666" t="s">
        <v>11</v>
      </c>
      <c r="D666" t="s">
        <v>13</v>
      </c>
      <c r="E666" t="s">
        <v>43</v>
      </c>
      <c r="F666" t="s">
        <v>32</v>
      </c>
      <c r="G666" s="2">
        <v>9</v>
      </c>
      <c r="H666" s="2">
        <v>593.75</v>
      </c>
      <c r="I666" s="2">
        <v>698.29</v>
      </c>
      <c r="J666" s="2">
        <v>5343.75</v>
      </c>
      <c r="K666" s="2">
        <v>6284.61</v>
      </c>
      <c r="L666" s="2">
        <v>940.86</v>
      </c>
    </row>
    <row r="667" spans="1:12" x14ac:dyDescent="0.3">
      <c r="A667" s="6">
        <f ca="1">Table1[[#This Row],[Date]]*1</f>
        <v>45372</v>
      </c>
      <c r="B667" t="s">
        <v>39</v>
      </c>
      <c r="C667" t="s">
        <v>8</v>
      </c>
      <c r="D667" t="s">
        <v>16</v>
      </c>
      <c r="E667" t="s">
        <v>43</v>
      </c>
      <c r="F667" t="s">
        <v>32</v>
      </c>
      <c r="G667" s="2">
        <v>34</v>
      </c>
      <c r="H667" s="2">
        <v>51.1</v>
      </c>
      <c r="I667" s="2">
        <v>72.150000000000006</v>
      </c>
      <c r="J667" s="2">
        <v>1737.4</v>
      </c>
      <c r="K667" s="2">
        <v>2453.1</v>
      </c>
      <c r="L667" s="2">
        <v>715.7</v>
      </c>
    </row>
    <row r="668" spans="1:12" x14ac:dyDescent="0.3">
      <c r="A668" s="6">
        <f ca="1">Table1[[#This Row],[Date]]*1</f>
        <v>45483</v>
      </c>
      <c r="B668" t="s">
        <v>44</v>
      </c>
      <c r="C668" t="s">
        <v>11</v>
      </c>
      <c r="D668" t="s">
        <v>12</v>
      </c>
      <c r="E668" t="s">
        <v>31</v>
      </c>
      <c r="F668" t="s">
        <v>32</v>
      </c>
      <c r="G668" s="2">
        <v>12</v>
      </c>
      <c r="H668" s="2">
        <v>319.19</v>
      </c>
      <c r="I668" s="2">
        <v>466.59</v>
      </c>
      <c r="J668" s="2">
        <v>3830.28</v>
      </c>
      <c r="K668" s="2">
        <v>5599.08</v>
      </c>
      <c r="L668" s="2">
        <v>1768.8</v>
      </c>
    </row>
    <row r="669" spans="1:12" x14ac:dyDescent="0.3">
      <c r="A669" s="6">
        <f ca="1">Table1[[#This Row],[Date]]*1</f>
        <v>45616</v>
      </c>
      <c r="B669" t="s">
        <v>34</v>
      </c>
      <c r="C669" t="s">
        <v>6</v>
      </c>
      <c r="D669" t="s">
        <v>17</v>
      </c>
      <c r="E669" t="s">
        <v>33</v>
      </c>
      <c r="F669" t="s">
        <v>32</v>
      </c>
      <c r="G669" s="2">
        <v>28</v>
      </c>
      <c r="H669" s="2">
        <v>520.98</v>
      </c>
      <c r="I669" s="2">
        <v>702.12</v>
      </c>
      <c r="J669" s="2">
        <v>14587.44</v>
      </c>
      <c r="K669" s="2">
        <v>19659.36</v>
      </c>
      <c r="L669" s="2">
        <v>5071.92</v>
      </c>
    </row>
    <row r="670" spans="1:12" x14ac:dyDescent="0.3">
      <c r="A670" s="6">
        <f ca="1">Table1[[#This Row],[Date]]*1</f>
        <v>45306</v>
      </c>
      <c r="B670" t="s">
        <v>39</v>
      </c>
      <c r="C670" t="s">
        <v>8</v>
      </c>
      <c r="D670" t="s">
        <v>42</v>
      </c>
      <c r="E670" t="s">
        <v>31</v>
      </c>
      <c r="F670" t="s">
        <v>29</v>
      </c>
      <c r="G670" s="2">
        <v>25</v>
      </c>
      <c r="H670" s="2">
        <v>744.76</v>
      </c>
      <c r="I670" s="2">
        <v>825.46</v>
      </c>
      <c r="J670" s="2">
        <v>18619</v>
      </c>
      <c r="K670" s="2">
        <v>20636.5</v>
      </c>
      <c r="L670" s="2">
        <v>2017.5</v>
      </c>
    </row>
    <row r="671" spans="1:12" x14ac:dyDescent="0.3">
      <c r="A671" s="6">
        <f ca="1">Table1[[#This Row],[Date]]*1</f>
        <v>45486</v>
      </c>
      <c r="B671" t="s">
        <v>41</v>
      </c>
      <c r="C671" t="s">
        <v>2</v>
      </c>
      <c r="D671" t="s">
        <v>3</v>
      </c>
      <c r="E671" t="s">
        <v>43</v>
      </c>
      <c r="F671" t="s">
        <v>29</v>
      </c>
      <c r="G671" s="2">
        <v>42</v>
      </c>
      <c r="H671" s="2">
        <v>664.08</v>
      </c>
      <c r="I671" s="2">
        <v>962.08</v>
      </c>
      <c r="J671" s="2">
        <v>27891.360000000001</v>
      </c>
      <c r="K671" s="2">
        <v>40407.360000000001</v>
      </c>
      <c r="L671" s="2">
        <v>12516</v>
      </c>
    </row>
    <row r="672" spans="1:12" x14ac:dyDescent="0.3">
      <c r="A672" s="6">
        <f ca="1">Table1[[#This Row],[Date]]*1</f>
        <v>45338</v>
      </c>
      <c r="B672" t="s">
        <v>30</v>
      </c>
      <c r="C672" t="s">
        <v>2</v>
      </c>
      <c r="D672" t="s">
        <v>3</v>
      </c>
      <c r="E672" t="s">
        <v>4</v>
      </c>
      <c r="F672" t="s">
        <v>29</v>
      </c>
      <c r="G672" s="2">
        <v>27</v>
      </c>
      <c r="H672" s="2">
        <v>383.78</v>
      </c>
      <c r="I672" s="2">
        <v>527.16</v>
      </c>
      <c r="J672" s="2">
        <v>10362.06</v>
      </c>
      <c r="K672" s="2">
        <v>14233.32</v>
      </c>
      <c r="L672" s="2">
        <v>3871.26</v>
      </c>
    </row>
    <row r="673" spans="1:12" x14ac:dyDescent="0.3">
      <c r="A673" s="6">
        <f ca="1">Table1[[#This Row],[Date]]*1</f>
        <v>45363</v>
      </c>
      <c r="B673" t="s">
        <v>30</v>
      </c>
      <c r="C673" t="s">
        <v>11</v>
      </c>
      <c r="D673" t="s">
        <v>12</v>
      </c>
      <c r="E673" t="s">
        <v>31</v>
      </c>
      <c r="F673" t="s">
        <v>32</v>
      </c>
      <c r="G673" s="2">
        <v>30</v>
      </c>
      <c r="H673" s="2">
        <v>740.17</v>
      </c>
      <c r="I673" s="2">
        <v>1052.6500000000001</v>
      </c>
      <c r="J673" s="2">
        <v>22205.1</v>
      </c>
      <c r="K673" s="2">
        <v>31579.5</v>
      </c>
      <c r="L673" s="2">
        <v>9374.4</v>
      </c>
    </row>
    <row r="674" spans="1:12" x14ac:dyDescent="0.3">
      <c r="A674" s="6">
        <f ca="1">Table1[[#This Row],[Date]]*1</f>
        <v>45305</v>
      </c>
      <c r="B674" t="s">
        <v>44</v>
      </c>
      <c r="C674" t="s">
        <v>2</v>
      </c>
      <c r="D674" t="s">
        <v>5</v>
      </c>
      <c r="E674" t="s">
        <v>43</v>
      </c>
      <c r="F674" t="s">
        <v>29</v>
      </c>
      <c r="G674" s="2">
        <v>34</v>
      </c>
      <c r="H674" s="2">
        <v>315.33999999999997</v>
      </c>
      <c r="I674" s="2">
        <v>445.33</v>
      </c>
      <c r="J674" s="2">
        <v>10721.56</v>
      </c>
      <c r="K674" s="2">
        <v>15141.22</v>
      </c>
      <c r="L674" s="2">
        <v>4419.66</v>
      </c>
    </row>
    <row r="675" spans="1:12" x14ac:dyDescent="0.3">
      <c r="A675" s="6">
        <f ca="1">Table1[[#This Row],[Date]]*1</f>
        <v>45545</v>
      </c>
      <c r="B675" t="s">
        <v>39</v>
      </c>
      <c r="C675" t="s">
        <v>6</v>
      </c>
      <c r="D675" t="s">
        <v>17</v>
      </c>
      <c r="E675" t="s">
        <v>35</v>
      </c>
      <c r="F675" t="s">
        <v>29</v>
      </c>
      <c r="G675" s="2">
        <v>5</v>
      </c>
      <c r="H675" s="2">
        <v>830.03</v>
      </c>
      <c r="I675" s="2">
        <v>1124.52</v>
      </c>
      <c r="J675" s="2">
        <v>4150.1499999999996</v>
      </c>
      <c r="K675" s="2">
        <v>5622.6</v>
      </c>
      <c r="L675" s="2">
        <v>1472.45</v>
      </c>
    </row>
    <row r="676" spans="1:12" x14ac:dyDescent="0.3">
      <c r="A676" s="6">
        <f ca="1">Table1[[#This Row],[Date]]*1</f>
        <v>45308</v>
      </c>
      <c r="B676" t="s">
        <v>36</v>
      </c>
      <c r="C676" t="s">
        <v>11</v>
      </c>
      <c r="D676" t="s">
        <v>15</v>
      </c>
      <c r="E676" t="s">
        <v>43</v>
      </c>
      <c r="F676" t="s">
        <v>29</v>
      </c>
      <c r="G676" s="2">
        <v>40</v>
      </c>
      <c r="H676" s="2">
        <v>885.91</v>
      </c>
      <c r="I676" s="2">
        <v>1277.31</v>
      </c>
      <c r="J676" s="2">
        <v>35436.400000000001</v>
      </c>
      <c r="K676" s="2">
        <v>51092.4</v>
      </c>
      <c r="L676" s="2">
        <v>15656</v>
      </c>
    </row>
    <row r="677" spans="1:12" x14ac:dyDescent="0.3">
      <c r="A677" s="6">
        <f ca="1">Table1[[#This Row],[Date]]*1</f>
        <v>45616</v>
      </c>
      <c r="B677" t="s">
        <v>44</v>
      </c>
      <c r="C677" t="s">
        <v>6</v>
      </c>
      <c r="D677" t="s">
        <v>10</v>
      </c>
      <c r="E677" t="s">
        <v>40</v>
      </c>
      <c r="F677" t="s">
        <v>29</v>
      </c>
      <c r="G677" s="2">
        <v>23</v>
      </c>
      <c r="H677" s="2">
        <v>323.92</v>
      </c>
      <c r="I677" s="2">
        <v>462.18</v>
      </c>
      <c r="J677" s="2">
        <v>7450.16</v>
      </c>
      <c r="K677" s="2">
        <v>10630.14</v>
      </c>
      <c r="L677" s="2">
        <v>3179.98</v>
      </c>
    </row>
    <row r="678" spans="1:12" x14ac:dyDescent="0.3">
      <c r="A678" s="6">
        <f ca="1">Table1[[#This Row],[Date]]*1</f>
        <v>45370</v>
      </c>
      <c r="B678" t="s">
        <v>45</v>
      </c>
      <c r="C678" t="s">
        <v>11</v>
      </c>
      <c r="D678" t="s">
        <v>15</v>
      </c>
      <c r="E678" t="s">
        <v>33</v>
      </c>
      <c r="F678" t="s">
        <v>32</v>
      </c>
      <c r="G678" s="2">
        <v>30</v>
      </c>
      <c r="H678" s="2">
        <v>387.89</v>
      </c>
      <c r="I678" s="2">
        <v>435.13</v>
      </c>
      <c r="J678" s="2">
        <v>11636.7</v>
      </c>
      <c r="K678" s="2">
        <v>13053.9</v>
      </c>
      <c r="L678" s="2">
        <v>1417.2</v>
      </c>
    </row>
    <row r="679" spans="1:12" x14ac:dyDescent="0.3">
      <c r="A679" s="6">
        <f ca="1">Table1[[#This Row],[Date]]*1</f>
        <v>45469</v>
      </c>
      <c r="B679" t="s">
        <v>30</v>
      </c>
      <c r="C679" t="s">
        <v>6</v>
      </c>
      <c r="D679" t="s">
        <v>17</v>
      </c>
      <c r="E679" t="s">
        <v>43</v>
      </c>
      <c r="F679" t="s">
        <v>32</v>
      </c>
      <c r="G679" s="2">
        <v>48</v>
      </c>
      <c r="H679" s="2">
        <v>581.66</v>
      </c>
      <c r="I679" s="2">
        <v>868.21</v>
      </c>
      <c r="J679" s="2">
        <v>27919.68</v>
      </c>
      <c r="K679" s="2">
        <v>41674.080000000002</v>
      </c>
      <c r="L679" s="2">
        <v>13754.4</v>
      </c>
    </row>
    <row r="680" spans="1:12" x14ac:dyDescent="0.3">
      <c r="A680" s="6">
        <f ca="1">Table1[[#This Row],[Date]]*1</f>
        <v>45410</v>
      </c>
      <c r="B680" t="s">
        <v>28</v>
      </c>
      <c r="C680" t="s">
        <v>2</v>
      </c>
      <c r="D680" t="s">
        <v>14</v>
      </c>
      <c r="E680" t="s">
        <v>43</v>
      </c>
      <c r="F680" t="s">
        <v>32</v>
      </c>
      <c r="G680" s="2">
        <v>34</v>
      </c>
      <c r="H680" s="2">
        <v>175.36</v>
      </c>
      <c r="I680" s="2">
        <v>222.95</v>
      </c>
      <c r="J680" s="2">
        <v>5962.24</v>
      </c>
      <c r="K680" s="2">
        <v>7580.3</v>
      </c>
      <c r="L680" s="2">
        <v>1618.06</v>
      </c>
    </row>
    <row r="681" spans="1:12" x14ac:dyDescent="0.3">
      <c r="A681" s="6">
        <f ca="1">Table1[[#This Row],[Date]]*1</f>
        <v>45429</v>
      </c>
      <c r="B681" t="s">
        <v>41</v>
      </c>
      <c r="C681" t="s">
        <v>2</v>
      </c>
      <c r="D681" t="s">
        <v>3</v>
      </c>
      <c r="E681" t="s">
        <v>35</v>
      </c>
      <c r="F681" t="s">
        <v>29</v>
      </c>
      <c r="G681" s="2">
        <v>24</v>
      </c>
      <c r="H681" s="2">
        <v>475.56</v>
      </c>
      <c r="I681" s="2">
        <v>570.70000000000005</v>
      </c>
      <c r="J681" s="2">
        <v>11413.44</v>
      </c>
      <c r="K681" s="2">
        <v>13696.8</v>
      </c>
      <c r="L681" s="2">
        <v>2283.36</v>
      </c>
    </row>
    <row r="682" spans="1:12" x14ac:dyDescent="0.3">
      <c r="A682" s="6">
        <f ca="1">Table1[[#This Row],[Date]]*1</f>
        <v>45632</v>
      </c>
      <c r="B682" t="s">
        <v>34</v>
      </c>
      <c r="C682" t="s">
        <v>2</v>
      </c>
      <c r="D682" t="s">
        <v>5</v>
      </c>
      <c r="E682" t="s">
        <v>40</v>
      </c>
      <c r="F682" t="s">
        <v>29</v>
      </c>
      <c r="G682" s="2">
        <v>27</v>
      </c>
      <c r="H682" s="2">
        <v>464.23</v>
      </c>
      <c r="I682" s="2">
        <v>597.66</v>
      </c>
      <c r="J682" s="2">
        <v>12534.21</v>
      </c>
      <c r="K682" s="2">
        <v>16136.82</v>
      </c>
      <c r="L682" s="2">
        <v>3602.61</v>
      </c>
    </row>
    <row r="683" spans="1:12" x14ac:dyDescent="0.3">
      <c r="A683" s="6">
        <f ca="1">Table1[[#This Row],[Date]]*1</f>
        <v>45434</v>
      </c>
      <c r="B683" t="s">
        <v>36</v>
      </c>
      <c r="C683" t="s">
        <v>11</v>
      </c>
      <c r="D683" t="s">
        <v>13</v>
      </c>
      <c r="E683" t="s">
        <v>33</v>
      </c>
      <c r="F683" t="s">
        <v>29</v>
      </c>
      <c r="G683" s="2">
        <v>50</v>
      </c>
      <c r="H683" s="2">
        <v>237.19</v>
      </c>
      <c r="I683" s="2">
        <v>291.95</v>
      </c>
      <c r="J683" s="2">
        <v>11859.5</v>
      </c>
      <c r="K683" s="2">
        <v>14597.5</v>
      </c>
      <c r="L683" s="2">
        <v>2738</v>
      </c>
    </row>
    <row r="684" spans="1:12" x14ac:dyDescent="0.3">
      <c r="A684" s="6">
        <f ca="1">Table1[[#This Row],[Date]]*1</f>
        <v>45329</v>
      </c>
      <c r="B684" t="s">
        <v>36</v>
      </c>
      <c r="C684" t="s">
        <v>2</v>
      </c>
      <c r="D684" t="s">
        <v>3</v>
      </c>
      <c r="E684" t="s">
        <v>33</v>
      </c>
      <c r="F684" t="s">
        <v>29</v>
      </c>
      <c r="G684" s="2">
        <v>17</v>
      </c>
      <c r="H684" s="2">
        <v>766.65</v>
      </c>
      <c r="I684" s="2">
        <v>868.21</v>
      </c>
      <c r="J684" s="2">
        <v>13033.05</v>
      </c>
      <c r="K684" s="2">
        <v>14759.57</v>
      </c>
      <c r="L684" s="2">
        <v>1726.52</v>
      </c>
    </row>
    <row r="685" spans="1:12" x14ac:dyDescent="0.3">
      <c r="A685" s="6">
        <f ca="1">Table1[[#This Row],[Date]]*1</f>
        <v>45329</v>
      </c>
      <c r="B685" t="s">
        <v>30</v>
      </c>
      <c r="C685" t="s">
        <v>8</v>
      </c>
      <c r="D685" t="s">
        <v>16</v>
      </c>
      <c r="E685" t="s">
        <v>4</v>
      </c>
      <c r="F685" t="s">
        <v>32</v>
      </c>
      <c r="G685" s="2">
        <v>50</v>
      </c>
      <c r="H685" s="2">
        <v>662.11</v>
      </c>
      <c r="I685" s="2">
        <v>969.04</v>
      </c>
      <c r="J685" s="2">
        <v>33105.5</v>
      </c>
      <c r="K685" s="2">
        <v>48452</v>
      </c>
      <c r="L685" s="2">
        <v>15346.5</v>
      </c>
    </row>
    <row r="686" spans="1:12" x14ac:dyDescent="0.3">
      <c r="A686" s="6">
        <f ca="1">Table1[[#This Row],[Date]]*1</f>
        <v>45453</v>
      </c>
      <c r="B686" t="s">
        <v>28</v>
      </c>
      <c r="C686" t="s">
        <v>11</v>
      </c>
      <c r="D686" t="s">
        <v>13</v>
      </c>
      <c r="E686" t="s">
        <v>4</v>
      </c>
      <c r="F686" t="s">
        <v>32</v>
      </c>
      <c r="G686" s="2">
        <v>29</v>
      </c>
      <c r="H686" s="2">
        <v>364.61</v>
      </c>
      <c r="I686" s="2">
        <v>487</v>
      </c>
      <c r="J686" s="2">
        <v>10573.69</v>
      </c>
      <c r="K686" s="2">
        <v>14123</v>
      </c>
      <c r="L686" s="2">
        <v>3549.31</v>
      </c>
    </row>
    <row r="687" spans="1:12" x14ac:dyDescent="0.3">
      <c r="A687" s="6">
        <f ca="1">Table1[[#This Row],[Date]]*1</f>
        <v>45585</v>
      </c>
      <c r="B687" t="s">
        <v>34</v>
      </c>
      <c r="C687" t="s">
        <v>2</v>
      </c>
      <c r="D687" t="s">
        <v>3</v>
      </c>
      <c r="E687" t="s">
        <v>33</v>
      </c>
      <c r="F687" t="s">
        <v>32</v>
      </c>
      <c r="G687" s="2">
        <v>24</v>
      </c>
      <c r="H687" s="2">
        <v>849.65</v>
      </c>
      <c r="I687" s="2">
        <v>1088.72</v>
      </c>
      <c r="J687" s="2">
        <v>20391.599999999999</v>
      </c>
      <c r="K687" s="2">
        <v>26129.279999999999</v>
      </c>
      <c r="L687" s="2">
        <v>5737.68</v>
      </c>
    </row>
    <row r="688" spans="1:12" x14ac:dyDescent="0.3">
      <c r="A688" s="6">
        <f ca="1">Table1[[#This Row],[Date]]*1</f>
        <v>45559</v>
      </c>
      <c r="B688" t="s">
        <v>30</v>
      </c>
      <c r="C688" t="s">
        <v>6</v>
      </c>
      <c r="D688" t="s">
        <v>10</v>
      </c>
      <c r="E688" t="s">
        <v>40</v>
      </c>
      <c r="F688" t="s">
        <v>32</v>
      </c>
      <c r="G688" s="2">
        <v>31</v>
      </c>
      <c r="H688" s="2">
        <v>927.88</v>
      </c>
      <c r="I688" s="2">
        <v>1374.5</v>
      </c>
      <c r="J688" s="2">
        <v>28764.28</v>
      </c>
      <c r="K688" s="2">
        <v>42609.5</v>
      </c>
      <c r="L688" s="2">
        <v>13845.22</v>
      </c>
    </row>
    <row r="689" spans="1:12" x14ac:dyDescent="0.3">
      <c r="A689" s="6">
        <f ca="1">Table1[[#This Row],[Date]]*1</f>
        <v>45514</v>
      </c>
      <c r="B689" t="s">
        <v>36</v>
      </c>
      <c r="C689" t="s">
        <v>6</v>
      </c>
      <c r="D689" t="s">
        <v>10</v>
      </c>
      <c r="E689" t="s">
        <v>43</v>
      </c>
      <c r="F689" t="s">
        <v>32</v>
      </c>
      <c r="G689" s="2">
        <v>27</v>
      </c>
      <c r="H689" s="2">
        <v>385.41</v>
      </c>
      <c r="I689" s="2">
        <v>465.14</v>
      </c>
      <c r="J689" s="2">
        <v>10406.07</v>
      </c>
      <c r="K689" s="2">
        <v>12558.78</v>
      </c>
      <c r="L689" s="2">
        <v>2152.71</v>
      </c>
    </row>
    <row r="690" spans="1:12" x14ac:dyDescent="0.3">
      <c r="A690" s="6">
        <f ca="1">Table1[[#This Row],[Date]]*1</f>
        <v>45629</v>
      </c>
      <c r="B690" t="s">
        <v>36</v>
      </c>
      <c r="C690" t="s">
        <v>6</v>
      </c>
      <c r="D690" t="s">
        <v>7</v>
      </c>
      <c r="E690" t="s">
        <v>40</v>
      </c>
      <c r="F690" t="s">
        <v>32</v>
      </c>
      <c r="G690" s="2">
        <v>3</v>
      </c>
      <c r="H690" s="2">
        <v>335.79</v>
      </c>
      <c r="I690" s="2">
        <v>375.16</v>
      </c>
      <c r="J690" s="2">
        <v>1007.37</v>
      </c>
      <c r="K690" s="2">
        <v>1125.48</v>
      </c>
      <c r="L690" s="2">
        <v>118.11</v>
      </c>
    </row>
    <row r="691" spans="1:12" x14ac:dyDescent="0.3">
      <c r="A691" s="6">
        <f ca="1">Table1[[#This Row],[Date]]*1</f>
        <v>45588</v>
      </c>
      <c r="B691" t="s">
        <v>34</v>
      </c>
      <c r="C691" t="s">
        <v>11</v>
      </c>
      <c r="D691" t="s">
        <v>13</v>
      </c>
      <c r="E691" t="s">
        <v>43</v>
      </c>
      <c r="F691" t="s">
        <v>32</v>
      </c>
      <c r="G691" s="2">
        <v>9</v>
      </c>
      <c r="H691" s="2">
        <v>645.76</v>
      </c>
      <c r="I691" s="2">
        <v>807.63</v>
      </c>
      <c r="J691" s="2">
        <v>5811.84</v>
      </c>
      <c r="K691" s="2">
        <v>7268.67</v>
      </c>
      <c r="L691" s="2">
        <v>1456.83</v>
      </c>
    </row>
    <row r="692" spans="1:12" x14ac:dyDescent="0.3">
      <c r="A692" s="6">
        <f ca="1">Table1[[#This Row],[Date]]*1</f>
        <v>45508</v>
      </c>
      <c r="B692" t="s">
        <v>37</v>
      </c>
      <c r="C692" t="s">
        <v>6</v>
      </c>
      <c r="D692" t="s">
        <v>7</v>
      </c>
      <c r="E692" t="s">
        <v>33</v>
      </c>
      <c r="F692" t="s">
        <v>32</v>
      </c>
      <c r="G692" s="2">
        <v>44</v>
      </c>
      <c r="H692" s="2">
        <v>967.82</v>
      </c>
      <c r="I692" s="2">
        <v>1255.25</v>
      </c>
      <c r="J692" s="2">
        <v>42584.08</v>
      </c>
      <c r="K692" s="2">
        <v>55231</v>
      </c>
      <c r="L692" s="2">
        <v>12646.92</v>
      </c>
    </row>
    <row r="693" spans="1:12" x14ac:dyDescent="0.3">
      <c r="A693" s="6">
        <f ca="1">Table1[[#This Row],[Date]]*1</f>
        <v>45513</v>
      </c>
      <c r="B693" t="s">
        <v>34</v>
      </c>
      <c r="C693" t="s">
        <v>8</v>
      </c>
      <c r="D693" t="s">
        <v>16</v>
      </c>
      <c r="E693" t="s">
        <v>4</v>
      </c>
      <c r="F693" t="s">
        <v>32</v>
      </c>
      <c r="G693" s="2">
        <v>3</v>
      </c>
      <c r="H693" s="2">
        <v>493.42</v>
      </c>
      <c r="I693" s="2">
        <v>701.36</v>
      </c>
      <c r="J693" s="2">
        <v>1480.26</v>
      </c>
      <c r="K693" s="2">
        <v>2104.08</v>
      </c>
      <c r="L693" s="2">
        <v>623.82000000000005</v>
      </c>
    </row>
    <row r="694" spans="1:12" x14ac:dyDescent="0.3">
      <c r="A694" s="6">
        <f ca="1">Table1[[#This Row],[Date]]*1</f>
        <v>45549</v>
      </c>
      <c r="B694" t="s">
        <v>39</v>
      </c>
      <c r="C694" t="s">
        <v>11</v>
      </c>
      <c r="D694" t="s">
        <v>15</v>
      </c>
      <c r="E694" t="s">
        <v>31</v>
      </c>
      <c r="F694" t="s">
        <v>29</v>
      </c>
      <c r="G694" s="2">
        <v>31</v>
      </c>
      <c r="H694" s="2">
        <v>63.86</v>
      </c>
      <c r="I694" s="2">
        <v>83.95</v>
      </c>
      <c r="J694" s="2">
        <v>1979.66</v>
      </c>
      <c r="K694" s="2">
        <v>2602.4499999999998</v>
      </c>
      <c r="L694" s="2">
        <v>622.79</v>
      </c>
    </row>
    <row r="695" spans="1:12" x14ac:dyDescent="0.3">
      <c r="A695" s="6">
        <f ca="1">Table1[[#This Row],[Date]]*1</f>
        <v>45612</v>
      </c>
      <c r="B695" t="s">
        <v>37</v>
      </c>
      <c r="C695" t="s">
        <v>8</v>
      </c>
      <c r="D695" t="s">
        <v>16</v>
      </c>
      <c r="E695" t="s">
        <v>4</v>
      </c>
      <c r="F695" t="s">
        <v>32</v>
      </c>
      <c r="G695" s="2">
        <v>1</v>
      </c>
      <c r="H695" s="2">
        <v>548.37</v>
      </c>
      <c r="I695" s="2">
        <v>710.7</v>
      </c>
      <c r="J695" s="2">
        <v>548.37</v>
      </c>
      <c r="K695" s="2">
        <v>710.7</v>
      </c>
      <c r="L695" s="2">
        <v>162.33000000000001</v>
      </c>
    </row>
    <row r="696" spans="1:12" x14ac:dyDescent="0.3">
      <c r="A696" s="6">
        <f ca="1">Table1[[#This Row],[Date]]*1</f>
        <v>45346</v>
      </c>
      <c r="B696" t="s">
        <v>38</v>
      </c>
      <c r="C696" t="s">
        <v>6</v>
      </c>
      <c r="D696" t="s">
        <v>17</v>
      </c>
      <c r="E696" t="s">
        <v>31</v>
      </c>
      <c r="F696" t="s">
        <v>32</v>
      </c>
      <c r="G696" s="2">
        <v>35</v>
      </c>
      <c r="H696" s="2">
        <v>491.69</v>
      </c>
      <c r="I696" s="2">
        <v>632.95000000000005</v>
      </c>
      <c r="J696" s="2">
        <v>17209.150000000001</v>
      </c>
      <c r="K696" s="2">
        <v>22153.25</v>
      </c>
      <c r="L696" s="2">
        <v>4944.1000000000004</v>
      </c>
    </row>
    <row r="697" spans="1:12" x14ac:dyDescent="0.3">
      <c r="A697" s="6">
        <f ca="1">Table1[[#This Row],[Date]]*1</f>
        <v>45448</v>
      </c>
      <c r="B697" t="s">
        <v>34</v>
      </c>
      <c r="C697" t="s">
        <v>8</v>
      </c>
      <c r="D697" t="s">
        <v>42</v>
      </c>
      <c r="E697" t="s">
        <v>33</v>
      </c>
      <c r="F697" t="s">
        <v>29</v>
      </c>
      <c r="G697" s="2">
        <v>11</v>
      </c>
      <c r="H697" s="2">
        <v>634.21</v>
      </c>
      <c r="I697" s="2">
        <v>779.3</v>
      </c>
      <c r="J697" s="2">
        <v>6976.31</v>
      </c>
      <c r="K697" s="2">
        <v>8572.2999999999993</v>
      </c>
      <c r="L697" s="2">
        <v>1595.99</v>
      </c>
    </row>
    <row r="698" spans="1:12" x14ac:dyDescent="0.3">
      <c r="A698" s="6">
        <f ca="1">Table1[[#This Row],[Date]]*1</f>
        <v>45656</v>
      </c>
      <c r="B698" t="s">
        <v>38</v>
      </c>
      <c r="C698" t="s">
        <v>2</v>
      </c>
      <c r="D698" t="s">
        <v>5</v>
      </c>
      <c r="E698" t="s">
        <v>31</v>
      </c>
      <c r="F698" t="s">
        <v>32</v>
      </c>
      <c r="G698" s="2">
        <v>17</v>
      </c>
      <c r="H698" s="2">
        <v>429.81</v>
      </c>
      <c r="I698" s="2">
        <v>520.6</v>
      </c>
      <c r="J698" s="2">
        <v>7306.77</v>
      </c>
      <c r="K698" s="2">
        <v>8850.2000000000007</v>
      </c>
      <c r="L698" s="2">
        <v>1543.43</v>
      </c>
    </row>
    <row r="699" spans="1:12" x14ac:dyDescent="0.3">
      <c r="A699" s="6">
        <f ca="1">Table1[[#This Row],[Date]]*1</f>
        <v>45616</v>
      </c>
      <c r="B699" t="s">
        <v>36</v>
      </c>
      <c r="C699" t="s">
        <v>11</v>
      </c>
      <c r="D699" t="s">
        <v>12</v>
      </c>
      <c r="E699" t="s">
        <v>40</v>
      </c>
      <c r="F699" t="s">
        <v>32</v>
      </c>
      <c r="G699" s="2">
        <v>4</v>
      </c>
      <c r="H699" s="2">
        <v>86.51</v>
      </c>
      <c r="I699" s="2">
        <v>109.07</v>
      </c>
      <c r="J699" s="2">
        <v>346.04</v>
      </c>
      <c r="K699" s="2">
        <v>436.28</v>
      </c>
      <c r="L699" s="2">
        <v>90.24</v>
      </c>
    </row>
    <row r="700" spans="1:12" x14ac:dyDescent="0.3">
      <c r="A700" s="6">
        <f ca="1">Table1[[#This Row],[Date]]*1</f>
        <v>45529</v>
      </c>
      <c r="B700" t="s">
        <v>39</v>
      </c>
      <c r="C700" t="s">
        <v>6</v>
      </c>
      <c r="D700" t="s">
        <v>10</v>
      </c>
      <c r="E700" t="s">
        <v>31</v>
      </c>
      <c r="F700" t="s">
        <v>32</v>
      </c>
      <c r="G700" s="2">
        <v>37</v>
      </c>
      <c r="H700" s="2">
        <v>419.44</v>
      </c>
      <c r="I700" s="2">
        <v>501.26</v>
      </c>
      <c r="J700" s="2">
        <v>15519.28</v>
      </c>
      <c r="K700" s="2">
        <v>18546.62</v>
      </c>
      <c r="L700" s="2">
        <v>3027.34</v>
      </c>
    </row>
    <row r="701" spans="1:12" x14ac:dyDescent="0.3">
      <c r="A701" s="6">
        <f ca="1">Table1[[#This Row],[Date]]*1</f>
        <v>45615</v>
      </c>
      <c r="B701" t="s">
        <v>30</v>
      </c>
      <c r="C701" t="s">
        <v>2</v>
      </c>
      <c r="D701" t="s">
        <v>5</v>
      </c>
      <c r="E701" t="s">
        <v>43</v>
      </c>
      <c r="F701" t="s">
        <v>29</v>
      </c>
      <c r="G701" s="2">
        <v>50</v>
      </c>
      <c r="H701" s="2">
        <v>318.48</v>
      </c>
      <c r="I701" s="2">
        <v>361.11</v>
      </c>
      <c r="J701" s="2">
        <v>15924</v>
      </c>
      <c r="K701" s="2">
        <v>18055.5</v>
      </c>
      <c r="L701" s="2">
        <v>2131.5</v>
      </c>
    </row>
    <row r="702" spans="1:12" x14ac:dyDescent="0.3">
      <c r="A702" s="6">
        <f ca="1">Table1[[#This Row],[Date]]*1</f>
        <v>45423</v>
      </c>
      <c r="B702" t="s">
        <v>38</v>
      </c>
      <c r="C702" t="s">
        <v>8</v>
      </c>
      <c r="D702" t="s">
        <v>9</v>
      </c>
      <c r="E702" t="s">
        <v>43</v>
      </c>
      <c r="F702" t="s">
        <v>29</v>
      </c>
      <c r="G702" s="2">
        <v>11</v>
      </c>
      <c r="H702" s="2">
        <v>899.7</v>
      </c>
      <c r="I702" s="2">
        <v>1013.64</v>
      </c>
      <c r="J702" s="2">
        <v>9896.7000000000007</v>
      </c>
      <c r="K702" s="2">
        <v>11150.04</v>
      </c>
      <c r="L702" s="2">
        <v>1253.3399999999999</v>
      </c>
    </row>
    <row r="703" spans="1:12" x14ac:dyDescent="0.3">
      <c r="A703" s="6">
        <f ca="1">Table1[[#This Row],[Date]]*1</f>
        <v>45600</v>
      </c>
      <c r="B703" t="s">
        <v>30</v>
      </c>
      <c r="C703" t="s">
        <v>2</v>
      </c>
      <c r="D703" t="s">
        <v>3</v>
      </c>
      <c r="E703" t="s">
        <v>43</v>
      </c>
      <c r="F703" t="s">
        <v>29</v>
      </c>
      <c r="G703" s="2">
        <v>39</v>
      </c>
      <c r="H703" s="2">
        <v>961.12</v>
      </c>
      <c r="I703" s="2">
        <v>1174.1600000000001</v>
      </c>
      <c r="J703" s="2">
        <v>37483.68</v>
      </c>
      <c r="K703" s="2">
        <v>45792.24</v>
      </c>
      <c r="L703" s="2">
        <v>8308.56</v>
      </c>
    </row>
    <row r="704" spans="1:12" x14ac:dyDescent="0.3">
      <c r="A704" s="6">
        <f ca="1">Table1[[#This Row],[Date]]*1</f>
        <v>45626</v>
      </c>
      <c r="B704" t="s">
        <v>38</v>
      </c>
      <c r="C704" t="s">
        <v>2</v>
      </c>
      <c r="D704" t="s">
        <v>3</v>
      </c>
      <c r="E704" t="s">
        <v>33</v>
      </c>
      <c r="F704" t="s">
        <v>29</v>
      </c>
      <c r="G704" s="2">
        <v>46</v>
      </c>
      <c r="H704" s="2">
        <v>511.82</v>
      </c>
      <c r="I704" s="2">
        <v>645.99</v>
      </c>
      <c r="J704" s="2">
        <v>23543.72</v>
      </c>
      <c r="K704" s="2">
        <v>29715.54</v>
      </c>
      <c r="L704" s="2">
        <v>6171.82</v>
      </c>
    </row>
    <row r="705" spans="1:12" x14ac:dyDescent="0.3">
      <c r="A705" s="6">
        <f ca="1">Table1[[#This Row],[Date]]*1</f>
        <v>45422</v>
      </c>
      <c r="B705" t="s">
        <v>34</v>
      </c>
      <c r="C705" t="s">
        <v>2</v>
      </c>
      <c r="D705" t="s">
        <v>5</v>
      </c>
      <c r="E705" t="s">
        <v>40</v>
      </c>
      <c r="F705" t="s">
        <v>29</v>
      </c>
      <c r="G705" s="2">
        <v>42</v>
      </c>
      <c r="H705" s="2">
        <v>519.49</v>
      </c>
      <c r="I705" s="2">
        <v>727.66</v>
      </c>
      <c r="J705" s="2">
        <v>21818.58</v>
      </c>
      <c r="K705" s="2">
        <v>30561.72</v>
      </c>
      <c r="L705" s="2">
        <v>8743.14</v>
      </c>
    </row>
    <row r="706" spans="1:12" x14ac:dyDescent="0.3">
      <c r="A706" s="6">
        <f ca="1">Table1[[#This Row],[Date]]*1</f>
        <v>45490</v>
      </c>
      <c r="B706" t="s">
        <v>34</v>
      </c>
      <c r="C706" t="s">
        <v>11</v>
      </c>
      <c r="D706" t="s">
        <v>12</v>
      </c>
      <c r="E706" t="s">
        <v>40</v>
      </c>
      <c r="F706" t="s">
        <v>32</v>
      </c>
      <c r="G706" s="2">
        <v>16</v>
      </c>
      <c r="H706" s="2">
        <v>853.25</v>
      </c>
      <c r="I706" s="2">
        <v>969.78</v>
      </c>
      <c r="J706" s="2">
        <v>13652</v>
      </c>
      <c r="K706" s="2">
        <v>15516.48</v>
      </c>
      <c r="L706" s="2">
        <v>1864.48</v>
      </c>
    </row>
    <row r="707" spans="1:12" x14ac:dyDescent="0.3">
      <c r="A707" s="6">
        <f ca="1">Table1[[#This Row],[Date]]*1</f>
        <v>45548</v>
      </c>
      <c r="B707" t="s">
        <v>37</v>
      </c>
      <c r="C707" t="s">
        <v>8</v>
      </c>
      <c r="D707" t="s">
        <v>16</v>
      </c>
      <c r="E707" t="s">
        <v>40</v>
      </c>
      <c r="F707" t="s">
        <v>29</v>
      </c>
      <c r="G707" s="2">
        <v>30</v>
      </c>
      <c r="H707" s="2">
        <v>746.98</v>
      </c>
      <c r="I707" s="2">
        <v>1089.76</v>
      </c>
      <c r="J707" s="2">
        <v>22409.4</v>
      </c>
      <c r="K707" s="2">
        <v>32692.799999999999</v>
      </c>
      <c r="L707" s="2">
        <v>10283.4</v>
      </c>
    </row>
    <row r="708" spans="1:12" x14ac:dyDescent="0.3">
      <c r="A708" s="6">
        <f ca="1">Table1[[#This Row],[Date]]*1</f>
        <v>45441</v>
      </c>
      <c r="B708" t="s">
        <v>34</v>
      </c>
      <c r="C708" t="s">
        <v>2</v>
      </c>
      <c r="D708" t="s">
        <v>3</v>
      </c>
      <c r="E708" t="s">
        <v>4</v>
      </c>
      <c r="F708" t="s">
        <v>29</v>
      </c>
      <c r="G708" s="2">
        <v>41</v>
      </c>
      <c r="H708" s="2">
        <v>965.58</v>
      </c>
      <c r="I708" s="2">
        <v>1379.86</v>
      </c>
      <c r="J708" s="2">
        <v>39588.78</v>
      </c>
      <c r="K708" s="2">
        <v>56574.26</v>
      </c>
      <c r="L708" s="2">
        <v>16985.48</v>
      </c>
    </row>
    <row r="709" spans="1:12" x14ac:dyDescent="0.3">
      <c r="A709" s="6">
        <f ca="1">Table1[[#This Row],[Date]]*1</f>
        <v>45450</v>
      </c>
      <c r="B709" t="s">
        <v>30</v>
      </c>
      <c r="C709" t="s">
        <v>11</v>
      </c>
      <c r="D709" t="s">
        <v>13</v>
      </c>
      <c r="E709" t="s">
        <v>33</v>
      </c>
      <c r="F709" t="s">
        <v>32</v>
      </c>
      <c r="G709" s="2">
        <v>3</v>
      </c>
      <c r="H709" s="2">
        <v>531.69000000000005</v>
      </c>
      <c r="I709" s="2">
        <v>629.86</v>
      </c>
      <c r="J709" s="2">
        <v>1595.07</v>
      </c>
      <c r="K709" s="2">
        <v>1889.58</v>
      </c>
      <c r="L709" s="2">
        <v>294.51</v>
      </c>
    </row>
    <row r="710" spans="1:12" x14ac:dyDescent="0.3">
      <c r="A710" s="6">
        <f ca="1">Table1[[#This Row],[Date]]*1</f>
        <v>45367</v>
      </c>
      <c r="B710" t="s">
        <v>37</v>
      </c>
      <c r="C710" t="s">
        <v>11</v>
      </c>
      <c r="D710" t="s">
        <v>15</v>
      </c>
      <c r="E710" t="s">
        <v>4</v>
      </c>
      <c r="F710" t="s">
        <v>29</v>
      </c>
      <c r="G710" s="2">
        <v>41</v>
      </c>
      <c r="H710" s="2">
        <v>120.58</v>
      </c>
      <c r="I710" s="2">
        <v>150.22999999999999</v>
      </c>
      <c r="J710" s="2">
        <v>4943.78</v>
      </c>
      <c r="K710" s="2">
        <v>6159.43</v>
      </c>
      <c r="L710" s="2">
        <v>1215.6500000000001</v>
      </c>
    </row>
    <row r="711" spans="1:12" x14ac:dyDescent="0.3">
      <c r="A711" s="6">
        <f ca="1">Table1[[#This Row],[Date]]*1</f>
        <v>45601</v>
      </c>
      <c r="B711" t="s">
        <v>41</v>
      </c>
      <c r="C711" t="s">
        <v>11</v>
      </c>
      <c r="D711" t="s">
        <v>13</v>
      </c>
      <c r="E711" t="s">
        <v>35</v>
      </c>
      <c r="F711" t="s">
        <v>29</v>
      </c>
      <c r="G711" s="2">
        <v>30</v>
      </c>
      <c r="H711" s="2">
        <v>728.19</v>
      </c>
      <c r="I711" s="2">
        <v>869.45</v>
      </c>
      <c r="J711" s="2">
        <v>21845.7</v>
      </c>
      <c r="K711" s="2">
        <v>26083.5</v>
      </c>
      <c r="L711" s="2">
        <v>4237.8</v>
      </c>
    </row>
    <row r="712" spans="1:12" x14ac:dyDescent="0.3">
      <c r="A712" s="6">
        <f ca="1">Table1[[#This Row],[Date]]*1</f>
        <v>45461</v>
      </c>
      <c r="B712" t="s">
        <v>44</v>
      </c>
      <c r="C712" t="s">
        <v>6</v>
      </c>
      <c r="D712" t="s">
        <v>17</v>
      </c>
      <c r="E712" t="s">
        <v>33</v>
      </c>
      <c r="F712" t="s">
        <v>32</v>
      </c>
      <c r="G712" s="2">
        <v>20</v>
      </c>
      <c r="H712" s="2">
        <v>350.09</v>
      </c>
      <c r="I712" s="2">
        <v>397.11</v>
      </c>
      <c r="J712" s="2">
        <v>7001.8</v>
      </c>
      <c r="K712" s="2">
        <v>7942.2</v>
      </c>
      <c r="L712" s="2">
        <v>940.4</v>
      </c>
    </row>
    <row r="713" spans="1:12" x14ac:dyDescent="0.3">
      <c r="A713" s="6">
        <f ca="1">Table1[[#This Row],[Date]]*1</f>
        <v>45318</v>
      </c>
      <c r="B713" t="s">
        <v>44</v>
      </c>
      <c r="C713" t="s">
        <v>11</v>
      </c>
      <c r="D713" t="s">
        <v>12</v>
      </c>
      <c r="E713" t="s">
        <v>35</v>
      </c>
      <c r="F713" t="s">
        <v>32</v>
      </c>
      <c r="G713" s="2">
        <v>20</v>
      </c>
      <c r="H713" s="2">
        <v>344.13</v>
      </c>
      <c r="I713" s="2">
        <v>513.86</v>
      </c>
      <c r="J713" s="2">
        <v>6882.6</v>
      </c>
      <c r="K713" s="2">
        <v>10277.200000000001</v>
      </c>
      <c r="L713" s="2">
        <v>3394.6</v>
      </c>
    </row>
    <row r="714" spans="1:12" x14ac:dyDescent="0.3">
      <c r="A714" s="6">
        <f ca="1">Table1[[#This Row],[Date]]*1</f>
        <v>45552</v>
      </c>
      <c r="B714" t="s">
        <v>37</v>
      </c>
      <c r="C714" t="s">
        <v>2</v>
      </c>
      <c r="D714" t="s">
        <v>14</v>
      </c>
      <c r="E714" t="s">
        <v>33</v>
      </c>
      <c r="F714" t="s">
        <v>29</v>
      </c>
      <c r="G714" s="2">
        <v>35</v>
      </c>
      <c r="H714" s="2">
        <v>877.54</v>
      </c>
      <c r="I714" s="2">
        <v>1276.5999999999999</v>
      </c>
      <c r="J714" s="2">
        <v>30713.9</v>
      </c>
      <c r="K714" s="2">
        <v>44681</v>
      </c>
      <c r="L714" s="2">
        <v>13967.1</v>
      </c>
    </row>
    <row r="715" spans="1:12" x14ac:dyDescent="0.3">
      <c r="A715" s="6">
        <f ca="1">Table1[[#This Row],[Date]]*1</f>
        <v>45630</v>
      </c>
      <c r="B715" t="s">
        <v>41</v>
      </c>
      <c r="C715" t="s">
        <v>6</v>
      </c>
      <c r="D715" t="s">
        <v>10</v>
      </c>
      <c r="E715" t="s">
        <v>40</v>
      </c>
      <c r="F715" t="s">
        <v>29</v>
      </c>
      <c r="G715" s="2">
        <v>22</v>
      </c>
      <c r="H715" s="2">
        <v>896.07</v>
      </c>
      <c r="I715" s="2">
        <v>1001.08</v>
      </c>
      <c r="J715" s="2">
        <v>19713.54</v>
      </c>
      <c r="K715" s="2">
        <v>22023.759999999998</v>
      </c>
      <c r="L715" s="2">
        <v>2310.2199999999998</v>
      </c>
    </row>
    <row r="716" spans="1:12" x14ac:dyDescent="0.3">
      <c r="A716" s="6">
        <f ca="1">Table1[[#This Row],[Date]]*1</f>
        <v>45462</v>
      </c>
      <c r="B716" t="s">
        <v>45</v>
      </c>
      <c r="C716" t="s">
        <v>2</v>
      </c>
      <c r="D716" t="s">
        <v>5</v>
      </c>
      <c r="E716" t="s">
        <v>40</v>
      </c>
      <c r="F716" t="s">
        <v>32</v>
      </c>
      <c r="G716" s="2">
        <v>12</v>
      </c>
      <c r="H716" s="2">
        <v>64.739999999999995</v>
      </c>
      <c r="I716" s="2">
        <v>81.84</v>
      </c>
      <c r="J716" s="2">
        <v>776.88</v>
      </c>
      <c r="K716" s="2">
        <v>982.08</v>
      </c>
      <c r="L716" s="2">
        <v>205.2</v>
      </c>
    </row>
    <row r="717" spans="1:12" x14ac:dyDescent="0.3">
      <c r="A717" s="6">
        <f ca="1">Table1[[#This Row],[Date]]*1</f>
        <v>45541</v>
      </c>
      <c r="B717" t="s">
        <v>38</v>
      </c>
      <c r="C717" t="s">
        <v>6</v>
      </c>
      <c r="D717" t="s">
        <v>17</v>
      </c>
      <c r="E717" t="s">
        <v>31</v>
      </c>
      <c r="F717" t="s">
        <v>32</v>
      </c>
      <c r="G717" s="2">
        <v>24</v>
      </c>
      <c r="H717" s="2">
        <v>863.76</v>
      </c>
      <c r="I717" s="2">
        <v>1221.9000000000001</v>
      </c>
      <c r="J717" s="2">
        <v>20730.240000000002</v>
      </c>
      <c r="K717" s="2">
        <v>29325.599999999999</v>
      </c>
      <c r="L717" s="2">
        <v>8595.36</v>
      </c>
    </row>
    <row r="718" spans="1:12" x14ac:dyDescent="0.3">
      <c r="A718" s="6">
        <f ca="1">Table1[[#This Row],[Date]]*1</f>
        <v>45649</v>
      </c>
      <c r="B718" t="s">
        <v>45</v>
      </c>
      <c r="C718" t="s">
        <v>2</v>
      </c>
      <c r="D718" t="s">
        <v>5</v>
      </c>
      <c r="E718" t="s">
        <v>35</v>
      </c>
      <c r="F718" t="s">
        <v>29</v>
      </c>
      <c r="G718" s="2">
        <v>38</v>
      </c>
      <c r="H718" s="2">
        <v>924.01</v>
      </c>
      <c r="I718" s="2">
        <v>1302.19</v>
      </c>
      <c r="J718" s="2">
        <v>35112.379999999997</v>
      </c>
      <c r="K718" s="2">
        <v>49483.22</v>
      </c>
      <c r="L718" s="2">
        <v>14370.84</v>
      </c>
    </row>
    <row r="719" spans="1:12" x14ac:dyDescent="0.3">
      <c r="A719" s="6">
        <f ca="1">Table1[[#This Row],[Date]]*1</f>
        <v>45431</v>
      </c>
      <c r="B719" t="s">
        <v>30</v>
      </c>
      <c r="C719" t="s">
        <v>8</v>
      </c>
      <c r="D719" t="s">
        <v>42</v>
      </c>
      <c r="E719" t="s">
        <v>43</v>
      </c>
      <c r="F719" t="s">
        <v>29</v>
      </c>
      <c r="G719" s="2">
        <v>26</v>
      </c>
      <c r="H719" s="2">
        <v>91.89</v>
      </c>
      <c r="I719" s="2">
        <v>135.09</v>
      </c>
      <c r="J719" s="2">
        <v>2389.14</v>
      </c>
      <c r="K719" s="2">
        <v>3512.34</v>
      </c>
      <c r="L719" s="2">
        <v>1123.2</v>
      </c>
    </row>
    <row r="720" spans="1:12" x14ac:dyDescent="0.3">
      <c r="A720" s="6">
        <f ca="1">Table1[[#This Row],[Date]]*1</f>
        <v>45650</v>
      </c>
      <c r="B720" t="s">
        <v>45</v>
      </c>
      <c r="C720" t="s">
        <v>2</v>
      </c>
      <c r="D720" t="s">
        <v>5</v>
      </c>
      <c r="E720" t="s">
        <v>4</v>
      </c>
      <c r="F720" t="s">
        <v>32</v>
      </c>
      <c r="G720" s="2">
        <v>8</v>
      </c>
      <c r="H720" s="2">
        <v>311.08999999999997</v>
      </c>
      <c r="I720" s="2">
        <v>436.95</v>
      </c>
      <c r="J720" s="2">
        <v>2488.7199999999998</v>
      </c>
      <c r="K720" s="2">
        <v>3495.6</v>
      </c>
      <c r="L720" s="2">
        <v>1006.88</v>
      </c>
    </row>
    <row r="721" spans="1:12" x14ac:dyDescent="0.3">
      <c r="A721" s="6">
        <f ca="1">Table1[[#This Row],[Date]]*1</f>
        <v>45476</v>
      </c>
      <c r="B721" t="s">
        <v>28</v>
      </c>
      <c r="C721" t="s">
        <v>11</v>
      </c>
      <c r="D721" t="s">
        <v>12</v>
      </c>
      <c r="E721" t="s">
        <v>33</v>
      </c>
      <c r="F721" t="s">
        <v>32</v>
      </c>
      <c r="G721" s="2">
        <v>43</v>
      </c>
      <c r="H721" s="2">
        <v>649.67999999999995</v>
      </c>
      <c r="I721" s="2">
        <v>929.41</v>
      </c>
      <c r="J721" s="2">
        <v>27936.240000000002</v>
      </c>
      <c r="K721" s="2">
        <v>39964.629999999997</v>
      </c>
      <c r="L721" s="2">
        <v>12028.39</v>
      </c>
    </row>
    <row r="722" spans="1:12" x14ac:dyDescent="0.3">
      <c r="A722" s="6">
        <f ca="1">Table1[[#This Row],[Date]]*1</f>
        <v>45344</v>
      </c>
      <c r="B722" t="s">
        <v>45</v>
      </c>
      <c r="C722" t="s">
        <v>2</v>
      </c>
      <c r="D722" t="s">
        <v>3</v>
      </c>
      <c r="E722" t="s">
        <v>4</v>
      </c>
      <c r="F722" t="s">
        <v>29</v>
      </c>
      <c r="G722" s="2">
        <v>37</v>
      </c>
      <c r="H722" s="2">
        <v>125.74</v>
      </c>
      <c r="I722" s="2">
        <v>181.46</v>
      </c>
      <c r="J722" s="2">
        <v>4652.38</v>
      </c>
      <c r="K722" s="2">
        <v>6714.02</v>
      </c>
      <c r="L722" s="2">
        <v>2061.64</v>
      </c>
    </row>
    <row r="723" spans="1:12" x14ac:dyDescent="0.3">
      <c r="A723" s="6">
        <f ca="1">Table1[[#This Row],[Date]]*1</f>
        <v>45472</v>
      </c>
      <c r="B723" t="s">
        <v>30</v>
      </c>
      <c r="C723" t="s">
        <v>6</v>
      </c>
      <c r="D723" t="s">
        <v>10</v>
      </c>
      <c r="E723" t="s">
        <v>4</v>
      </c>
      <c r="F723" t="s">
        <v>32</v>
      </c>
      <c r="G723" s="2">
        <v>27</v>
      </c>
      <c r="H723" s="2">
        <v>785.85</v>
      </c>
      <c r="I723" s="2">
        <v>1155.73</v>
      </c>
      <c r="J723" s="2">
        <v>21217.95</v>
      </c>
      <c r="K723" s="2">
        <v>31204.71</v>
      </c>
      <c r="L723" s="2">
        <v>9986.76</v>
      </c>
    </row>
    <row r="724" spans="1:12" x14ac:dyDescent="0.3">
      <c r="A724" s="6">
        <f ca="1">Table1[[#This Row],[Date]]*1</f>
        <v>45533</v>
      </c>
      <c r="B724" t="s">
        <v>28</v>
      </c>
      <c r="C724" t="s">
        <v>11</v>
      </c>
      <c r="D724" t="s">
        <v>12</v>
      </c>
      <c r="E724" t="s">
        <v>35</v>
      </c>
      <c r="F724" t="s">
        <v>32</v>
      </c>
      <c r="G724" s="2">
        <v>32</v>
      </c>
      <c r="H724" s="2">
        <v>666.67</v>
      </c>
      <c r="I724" s="2">
        <v>734.7</v>
      </c>
      <c r="J724" s="2">
        <v>21333.439999999999</v>
      </c>
      <c r="K724" s="2">
        <v>23510.400000000001</v>
      </c>
      <c r="L724" s="2">
        <v>2176.96</v>
      </c>
    </row>
    <row r="725" spans="1:12" x14ac:dyDescent="0.3">
      <c r="A725" s="6">
        <f ca="1">Table1[[#This Row],[Date]]*1</f>
        <v>45619</v>
      </c>
      <c r="B725" t="s">
        <v>36</v>
      </c>
      <c r="C725" t="s">
        <v>8</v>
      </c>
      <c r="D725" t="s">
        <v>16</v>
      </c>
      <c r="E725" t="s">
        <v>43</v>
      </c>
      <c r="F725" t="s">
        <v>32</v>
      </c>
      <c r="G725" s="2">
        <v>50</v>
      </c>
      <c r="H725" s="2">
        <v>850.48</v>
      </c>
      <c r="I725" s="2">
        <v>1182.19</v>
      </c>
      <c r="J725" s="2">
        <v>42524</v>
      </c>
      <c r="K725" s="2">
        <v>59109.5</v>
      </c>
      <c r="L725" s="2">
        <v>16585.5</v>
      </c>
    </row>
    <row r="726" spans="1:12" x14ac:dyDescent="0.3">
      <c r="A726" s="6">
        <f ca="1">Table1[[#This Row],[Date]]*1</f>
        <v>45595</v>
      </c>
      <c r="B726" t="s">
        <v>28</v>
      </c>
      <c r="C726" t="s">
        <v>2</v>
      </c>
      <c r="D726" t="s">
        <v>3</v>
      </c>
      <c r="E726" t="s">
        <v>43</v>
      </c>
      <c r="F726" t="s">
        <v>29</v>
      </c>
      <c r="G726" s="2">
        <v>6</v>
      </c>
      <c r="H726" s="2">
        <v>551.9</v>
      </c>
      <c r="I726" s="2">
        <v>654.15</v>
      </c>
      <c r="J726" s="2">
        <v>3311.4</v>
      </c>
      <c r="K726" s="2">
        <v>3924.9</v>
      </c>
      <c r="L726" s="2">
        <v>613.5</v>
      </c>
    </row>
    <row r="727" spans="1:12" x14ac:dyDescent="0.3">
      <c r="A727" s="6">
        <f ca="1">Table1[[#This Row],[Date]]*1</f>
        <v>45391</v>
      </c>
      <c r="B727" t="s">
        <v>34</v>
      </c>
      <c r="C727" t="s">
        <v>8</v>
      </c>
      <c r="D727" t="s">
        <v>16</v>
      </c>
      <c r="E727" t="s">
        <v>35</v>
      </c>
      <c r="F727" t="s">
        <v>29</v>
      </c>
      <c r="G727" s="2">
        <v>12</v>
      </c>
      <c r="H727" s="2">
        <v>979.5</v>
      </c>
      <c r="I727" s="2">
        <v>1313.68</v>
      </c>
      <c r="J727" s="2">
        <v>11754</v>
      </c>
      <c r="K727" s="2">
        <v>15764.16</v>
      </c>
      <c r="L727" s="2">
        <v>4010.16</v>
      </c>
    </row>
    <row r="728" spans="1:12" x14ac:dyDescent="0.3">
      <c r="A728" s="6">
        <f ca="1">Table1[[#This Row],[Date]]*1</f>
        <v>45643</v>
      </c>
      <c r="B728" t="s">
        <v>28</v>
      </c>
      <c r="C728" t="s">
        <v>6</v>
      </c>
      <c r="D728" t="s">
        <v>17</v>
      </c>
      <c r="E728" t="s">
        <v>43</v>
      </c>
      <c r="F728" t="s">
        <v>32</v>
      </c>
      <c r="G728" s="2">
        <v>49</v>
      </c>
      <c r="H728" s="2">
        <v>195.3</v>
      </c>
      <c r="I728" s="2">
        <v>287.45999999999998</v>
      </c>
      <c r="J728" s="2">
        <v>9569.7000000000007</v>
      </c>
      <c r="K728" s="2">
        <v>14085.54</v>
      </c>
      <c r="L728" s="2">
        <v>4515.84</v>
      </c>
    </row>
    <row r="729" spans="1:12" x14ac:dyDescent="0.3">
      <c r="A729" s="6">
        <f ca="1">Table1[[#This Row],[Date]]*1</f>
        <v>45635</v>
      </c>
      <c r="B729" t="s">
        <v>34</v>
      </c>
      <c r="C729" t="s">
        <v>2</v>
      </c>
      <c r="D729" t="s">
        <v>14</v>
      </c>
      <c r="E729" t="s">
        <v>33</v>
      </c>
      <c r="F729" t="s">
        <v>32</v>
      </c>
      <c r="G729" s="2">
        <v>36</v>
      </c>
      <c r="H729" s="2">
        <v>497.9</v>
      </c>
      <c r="I729" s="2">
        <v>742.56</v>
      </c>
      <c r="J729" s="2">
        <v>17924.400000000001</v>
      </c>
      <c r="K729" s="2">
        <v>26732.16</v>
      </c>
      <c r="L729" s="2">
        <v>8807.76</v>
      </c>
    </row>
    <row r="730" spans="1:12" x14ac:dyDescent="0.3">
      <c r="A730" s="6">
        <f ca="1">Table1[[#This Row],[Date]]*1</f>
        <v>45338</v>
      </c>
      <c r="B730" t="s">
        <v>45</v>
      </c>
      <c r="C730" t="s">
        <v>8</v>
      </c>
      <c r="D730" t="s">
        <v>16</v>
      </c>
      <c r="E730" t="s">
        <v>43</v>
      </c>
      <c r="F730" t="s">
        <v>29</v>
      </c>
      <c r="G730" s="2">
        <v>24</v>
      </c>
      <c r="H730" s="2">
        <v>160.91999999999999</v>
      </c>
      <c r="I730" s="2">
        <v>198.49</v>
      </c>
      <c r="J730" s="2">
        <v>3862.08</v>
      </c>
      <c r="K730" s="2">
        <v>4763.76</v>
      </c>
      <c r="L730" s="2">
        <v>901.68</v>
      </c>
    </row>
    <row r="731" spans="1:12" x14ac:dyDescent="0.3">
      <c r="A731" s="6">
        <f ca="1">Table1[[#This Row],[Date]]*1</f>
        <v>45305</v>
      </c>
      <c r="B731" t="s">
        <v>36</v>
      </c>
      <c r="C731" t="s">
        <v>8</v>
      </c>
      <c r="D731" t="s">
        <v>16</v>
      </c>
      <c r="E731" t="s">
        <v>33</v>
      </c>
      <c r="F731" t="s">
        <v>32</v>
      </c>
      <c r="G731" s="2">
        <v>45</v>
      </c>
      <c r="H731" s="2">
        <v>623.91</v>
      </c>
      <c r="I731" s="2">
        <v>897.56</v>
      </c>
      <c r="J731" s="2">
        <v>28075.95</v>
      </c>
      <c r="K731" s="2">
        <v>40390.199999999997</v>
      </c>
      <c r="L731" s="2">
        <v>12314.25</v>
      </c>
    </row>
    <row r="732" spans="1:12" x14ac:dyDescent="0.3">
      <c r="A732" s="6">
        <f ca="1">Table1[[#This Row],[Date]]*1</f>
        <v>45608</v>
      </c>
      <c r="B732" t="s">
        <v>45</v>
      </c>
      <c r="C732" t="s">
        <v>2</v>
      </c>
      <c r="D732" t="s">
        <v>3</v>
      </c>
      <c r="E732" t="s">
        <v>33</v>
      </c>
      <c r="F732" t="s">
        <v>29</v>
      </c>
      <c r="G732" s="2">
        <v>50</v>
      </c>
      <c r="H732" s="2">
        <v>181.69</v>
      </c>
      <c r="I732" s="2">
        <v>230.75</v>
      </c>
      <c r="J732" s="2">
        <v>9084.5</v>
      </c>
      <c r="K732" s="2">
        <v>11537.5</v>
      </c>
      <c r="L732" s="2">
        <v>2453</v>
      </c>
    </row>
    <row r="733" spans="1:12" x14ac:dyDescent="0.3">
      <c r="A733" s="6">
        <f ca="1">Table1[[#This Row],[Date]]*1</f>
        <v>45613</v>
      </c>
      <c r="B733" t="s">
        <v>39</v>
      </c>
      <c r="C733" t="s">
        <v>8</v>
      </c>
      <c r="D733" t="s">
        <v>42</v>
      </c>
      <c r="E733" t="s">
        <v>43</v>
      </c>
      <c r="F733" t="s">
        <v>29</v>
      </c>
      <c r="G733" s="2">
        <v>35</v>
      </c>
      <c r="H733" s="2">
        <v>829.22</v>
      </c>
      <c r="I733" s="2">
        <v>1130.08</v>
      </c>
      <c r="J733" s="2">
        <v>29022.7</v>
      </c>
      <c r="K733" s="2">
        <v>39552.800000000003</v>
      </c>
      <c r="L733" s="2">
        <v>10530.1</v>
      </c>
    </row>
    <row r="734" spans="1:12" x14ac:dyDescent="0.3">
      <c r="A734" s="6">
        <f ca="1">Table1[[#This Row],[Date]]*1</f>
        <v>45390</v>
      </c>
      <c r="B734" t="s">
        <v>38</v>
      </c>
      <c r="C734" t="s">
        <v>6</v>
      </c>
      <c r="D734" t="s">
        <v>17</v>
      </c>
      <c r="E734" t="s">
        <v>35</v>
      </c>
      <c r="F734" t="s">
        <v>29</v>
      </c>
      <c r="G734" s="2">
        <v>22</v>
      </c>
      <c r="H734" s="2">
        <v>860.98</v>
      </c>
      <c r="I734" s="2">
        <v>991.44</v>
      </c>
      <c r="J734" s="2">
        <v>18941.560000000001</v>
      </c>
      <c r="K734" s="2">
        <v>21811.68</v>
      </c>
      <c r="L734" s="2">
        <v>2870.12</v>
      </c>
    </row>
    <row r="735" spans="1:12" x14ac:dyDescent="0.3">
      <c r="A735" s="6">
        <f ca="1">Table1[[#This Row],[Date]]*1</f>
        <v>45369</v>
      </c>
      <c r="B735" t="s">
        <v>41</v>
      </c>
      <c r="C735" t="s">
        <v>2</v>
      </c>
      <c r="D735" t="s">
        <v>3</v>
      </c>
      <c r="E735" t="s">
        <v>33</v>
      </c>
      <c r="F735" t="s">
        <v>32</v>
      </c>
      <c r="G735" s="2">
        <v>50</v>
      </c>
      <c r="H735" s="2">
        <v>555.33000000000004</v>
      </c>
      <c r="I735" s="2">
        <v>765.69</v>
      </c>
      <c r="J735" s="2">
        <v>27766.5</v>
      </c>
      <c r="K735" s="2">
        <v>38284.5</v>
      </c>
      <c r="L735" s="2">
        <v>10518</v>
      </c>
    </row>
    <row r="736" spans="1:12" x14ac:dyDescent="0.3">
      <c r="A736" s="6">
        <f ca="1">Table1[[#This Row],[Date]]*1</f>
        <v>45408</v>
      </c>
      <c r="B736" t="s">
        <v>44</v>
      </c>
      <c r="C736" t="s">
        <v>8</v>
      </c>
      <c r="D736" t="s">
        <v>16</v>
      </c>
      <c r="E736" t="s">
        <v>33</v>
      </c>
      <c r="F736" t="s">
        <v>29</v>
      </c>
      <c r="G736" s="2">
        <v>1</v>
      </c>
      <c r="H736" s="2">
        <v>762.63</v>
      </c>
      <c r="I736" s="2">
        <v>1007.97</v>
      </c>
      <c r="J736" s="2">
        <v>762.63</v>
      </c>
      <c r="K736" s="2">
        <v>1007.97</v>
      </c>
      <c r="L736" s="2">
        <v>245.34</v>
      </c>
    </row>
    <row r="737" spans="1:12" x14ac:dyDescent="0.3">
      <c r="A737" s="6">
        <f ca="1">Table1[[#This Row],[Date]]*1</f>
        <v>45473</v>
      </c>
      <c r="B737" t="s">
        <v>30</v>
      </c>
      <c r="C737" t="s">
        <v>6</v>
      </c>
      <c r="D737" t="s">
        <v>7</v>
      </c>
      <c r="E737" t="s">
        <v>40</v>
      </c>
      <c r="F737" t="s">
        <v>32</v>
      </c>
      <c r="G737" s="2">
        <v>36</v>
      </c>
      <c r="H737" s="2">
        <v>745.44</v>
      </c>
      <c r="I737" s="2">
        <v>885.05</v>
      </c>
      <c r="J737" s="2">
        <v>26835.84</v>
      </c>
      <c r="K737" s="2">
        <v>31861.8</v>
      </c>
      <c r="L737" s="2">
        <v>5025.96</v>
      </c>
    </row>
    <row r="738" spans="1:12" x14ac:dyDescent="0.3">
      <c r="A738" s="6">
        <f ca="1">Table1[[#This Row],[Date]]*1</f>
        <v>45536</v>
      </c>
      <c r="B738" t="s">
        <v>41</v>
      </c>
      <c r="C738" t="s">
        <v>8</v>
      </c>
      <c r="D738" t="s">
        <v>16</v>
      </c>
      <c r="E738" t="s">
        <v>31</v>
      </c>
      <c r="F738" t="s">
        <v>29</v>
      </c>
      <c r="G738" s="2">
        <v>10</v>
      </c>
      <c r="H738" s="2">
        <v>810.03</v>
      </c>
      <c r="I738" s="2">
        <v>1123.8699999999999</v>
      </c>
      <c r="J738" s="2">
        <v>8100.3</v>
      </c>
      <c r="K738" s="2">
        <v>11238.7</v>
      </c>
      <c r="L738" s="2">
        <v>3138.4</v>
      </c>
    </row>
    <row r="739" spans="1:12" x14ac:dyDescent="0.3">
      <c r="A739" s="6">
        <f ca="1">Table1[[#This Row],[Date]]*1</f>
        <v>45527</v>
      </c>
      <c r="B739" t="s">
        <v>28</v>
      </c>
      <c r="C739" t="s">
        <v>2</v>
      </c>
      <c r="D739" t="s">
        <v>14</v>
      </c>
      <c r="E739" t="s">
        <v>4</v>
      </c>
      <c r="F739" t="s">
        <v>32</v>
      </c>
      <c r="G739" s="2">
        <v>46</v>
      </c>
      <c r="H739" s="2">
        <v>884.47</v>
      </c>
      <c r="I739" s="2">
        <v>1179.72</v>
      </c>
      <c r="J739" s="2">
        <v>40685.620000000003</v>
      </c>
      <c r="K739" s="2">
        <v>54267.12</v>
      </c>
      <c r="L739" s="2">
        <v>13581.5</v>
      </c>
    </row>
    <row r="740" spans="1:12" x14ac:dyDescent="0.3">
      <c r="A740" s="6">
        <f ca="1">Table1[[#This Row],[Date]]*1</f>
        <v>45487</v>
      </c>
      <c r="B740" t="s">
        <v>37</v>
      </c>
      <c r="C740" t="s">
        <v>6</v>
      </c>
      <c r="D740" t="s">
        <v>17</v>
      </c>
      <c r="E740" t="s">
        <v>40</v>
      </c>
      <c r="F740" t="s">
        <v>32</v>
      </c>
      <c r="G740" s="2">
        <v>50</v>
      </c>
      <c r="H740" s="2">
        <v>800.69</v>
      </c>
      <c r="I740" s="2">
        <v>1178.75</v>
      </c>
      <c r="J740" s="2">
        <v>40034.5</v>
      </c>
      <c r="K740" s="2">
        <v>58937.5</v>
      </c>
      <c r="L740" s="2">
        <v>18903</v>
      </c>
    </row>
    <row r="741" spans="1:12" x14ac:dyDescent="0.3">
      <c r="A741" s="6">
        <f ca="1">Table1[[#This Row],[Date]]*1</f>
        <v>45360</v>
      </c>
      <c r="B741" t="s">
        <v>36</v>
      </c>
      <c r="C741" t="s">
        <v>2</v>
      </c>
      <c r="D741" t="s">
        <v>14</v>
      </c>
      <c r="E741" t="s">
        <v>43</v>
      </c>
      <c r="F741" t="s">
        <v>32</v>
      </c>
      <c r="G741" s="2">
        <v>47</v>
      </c>
      <c r="H741" s="2">
        <v>635.72</v>
      </c>
      <c r="I741" s="2">
        <v>767.49</v>
      </c>
      <c r="J741" s="2">
        <v>29878.84</v>
      </c>
      <c r="K741" s="2">
        <v>36072.03</v>
      </c>
      <c r="L741" s="2">
        <v>6193.19</v>
      </c>
    </row>
    <row r="742" spans="1:12" x14ac:dyDescent="0.3">
      <c r="A742" s="6">
        <f ca="1">Table1[[#This Row],[Date]]*1</f>
        <v>45303</v>
      </c>
      <c r="B742" t="s">
        <v>30</v>
      </c>
      <c r="C742" t="s">
        <v>11</v>
      </c>
      <c r="D742" t="s">
        <v>12</v>
      </c>
      <c r="E742" t="s">
        <v>4</v>
      </c>
      <c r="F742" t="s">
        <v>29</v>
      </c>
      <c r="G742" s="2">
        <v>4</v>
      </c>
      <c r="H742" s="2">
        <v>157.52000000000001</v>
      </c>
      <c r="I742" s="2">
        <v>177.11</v>
      </c>
      <c r="J742" s="2">
        <v>630.08000000000004</v>
      </c>
      <c r="K742" s="2">
        <v>708.44</v>
      </c>
      <c r="L742" s="2">
        <v>78.36</v>
      </c>
    </row>
    <row r="743" spans="1:12" x14ac:dyDescent="0.3">
      <c r="A743" s="6">
        <f ca="1">Table1[[#This Row],[Date]]*1</f>
        <v>45509</v>
      </c>
      <c r="B743" t="s">
        <v>45</v>
      </c>
      <c r="C743" t="s">
        <v>6</v>
      </c>
      <c r="D743" t="s">
        <v>10</v>
      </c>
      <c r="E743" t="s">
        <v>40</v>
      </c>
      <c r="F743" t="s">
        <v>32</v>
      </c>
      <c r="G743" s="2">
        <v>45</v>
      </c>
      <c r="H743" s="2">
        <v>760.21</v>
      </c>
      <c r="I743" s="2">
        <v>1021.95</v>
      </c>
      <c r="J743" s="2">
        <v>34209.449999999997</v>
      </c>
      <c r="K743" s="2">
        <v>45987.75</v>
      </c>
      <c r="L743" s="2">
        <v>11778.3</v>
      </c>
    </row>
    <row r="744" spans="1:12" x14ac:dyDescent="0.3">
      <c r="A744" s="6">
        <f ca="1">Table1[[#This Row],[Date]]*1</f>
        <v>45388</v>
      </c>
      <c r="B744" t="s">
        <v>45</v>
      </c>
      <c r="C744" t="s">
        <v>8</v>
      </c>
      <c r="D744" t="s">
        <v>42</v>
      </c>
      <c r="E744" t="s">
        <v>40</v>
      </c>
      <c r="F744" t="s">
        <v>32</v>
      </c>
      <c r="G744" s="2">
        <v>46</v>
      </c>
      <c r="H744" s="2">
        <v>253.13</v>
      </c>
      <c r="I744" s="2">
        <v>303.69</v>
      </c>
      <c r="J744" s="2">
        <v>11643.98</v>
      </c>
      <c r="K744" s="2">
        <v>13969.74</v>
      </c>
      <c r="L744" s="2">
        <v>2325.7600000000002</v>
      </c>
    </row>
    <row r="745" spans="1:12" x14ac:dyDescent="0.3">
      <c r="A745" s="6">
        <f ca="1">Table1[[#This Row],[Date]]*1</f>
        <v>45443</v>
      </c>
      <c r="B745" t="s">
        <v>37</v>
      </c>
      <c r="C745" t="s">
        <v>8</v>
      </c>
      <c r="D745" t="s">
        <v>9</v>
      </c>
      <c r="E745" t="s">
        <v>40</v>
      </c>
      <c r="F745" t="s">
        <v>29</v>
      </c>
      <c r="G745" s="2">
        <v>5</v>
      </c>
      <c r="H745" s="2">
        <v>183.35</v>
      </c>
      <c r="I745" s="2">
        <v>247.32</v>
      </c>
      <c r="J745" s="2">
        <v>916.75</v>
      </c>
      <c r="K745" s="2">
        <v>1236.5999999999999</v>
      </c>
      <c r="L745" s="2">
        <v>319.85000000000002</v>
      </c>
    </row>
    <row r="746" spans="1:12" x14ac:dyDescent="0.3">
      <c r="A746" s="6">
        <f ca="1">Table1[[#This Row],[Date]]*1</f>
        <v>45318</v>
      </c>
      <c r="B746" t="s">
        <v>39</v>
      </c>
      <c r="C746" t="s">
        <v>8</v>
      </c>
      <c r="D746" t="s">
        <v>42</v>
      </c>
      <c r="E746" t="s">
        <v>35</v>
      </c>
      <c r="F746" t="s">
        <v>29</v>
      </c>
      <c r="G746" s="2">
        <v>31</v>
      </c>
      <c r="H746" s="2">
        <v>474.13</v>
      </c>
      <c r="I746" s="2">
        <v>589.03</v>
      </c>
      <c r="J746" s="2">
        <v>14698.03</v>
      </c>
      <c r="K746" s="2">
        <v>18259.93</v>
      </c>
      <c r="L746" s="2">
        <v>3561.9</v>
      </c>
    </row>
    <row r="747" spans="1:12" x14ac:dyDescent="0.3">
      <c r="A747" s="6">
        <f ca="1">Table1[[#This Row],[Date]]*1</f>
        <v>45487</v>
      </c>
      <c r="B747" t="s">
        <v>44</v>
      </c>
      <c r="C747" t="s">
        <v>2</v>
      </c>
      <c r="D747" t="s">
        <v>5</v>
      </c>
      <c r="E747" t="s">
        <v>31</v>
      </c>
      <c r="F747" t="s">
        <v>29</v>
      </c>
      <c r="G747" s="2">
        <v>39</v>
      </c>
      <c r="H747" s="2">
        <v>891.39</v>
      </c>
      <c r="I747" s="2">
        <v>1251.1199999999999</v>
      </c>
      <c r="J747" s="2">
        <v>34764.21</v>
      </c>
      <c r="K747" s="2">
        <v>48793.68</v>
      </c>
      <c r="L747" s="2">
        <v>14029.47</v>
      </c>
    </row>
    <row r="748" spans="1:12" x14ac:dyDescent="0.3">
      <c r="A748" s="6">
        <f ca="1">Table1[[#This Row],[Date]]*1</f>
        <v>45594</v>
      </c>
      <c r="B748" t="s">
        <v>34</v>
      </c>
      <c r="C748" t="s">
        <v>8</v>
      </c>
      <c r="D748" t="s">
        <v>16</v>
      </c>
      <c r="E748" t="s">
        <v>4</v>
      </c>
      <c r="F748" t="s">
        <v>29</v>
      </c>
      <c r="G748" s="2">
        <v>47</v>
      </c>
      <c r="H748" s="2">
        <v>382.44</v>
      </c>
      <c r="I748" s="2">
        <v>522.59</v>
      </c>
      <c r="J748" s="2">
        <v>17974.68</v>
      </c>
      <c r="K748" s="2">
        <v>24561.73</v>
      </c>
      <c r="L748" s="2">
        <v>6587.05</v>
      </c>
    </row>
    <row r="749" spans="1:12" x14ac:dyDescent="0.3">
      <c r="A749" s="6">
        <f ca="1">Table1[[#This Row],[Date]]*1</f>
        <v>45613</v>
      </c>
      <c r="B749" t="s">
        <v>41</v>
      </c>
      <c r="C749" t="s">
        <v>8</v>
      </c>
      <c r="D749" t="s">
        <v>42</v>
      </c>
      <c r="E749" t="s">
        <v>40</v>
      </c>
      <c r="F749" t="s">
        <v>32</v>
      </c>
      <c r="G749" s="2">
        <v>28</v>
      </c>
      <c r="H749" s="2">
        <v>457.08</v>
      </c>
      <c r="I749" s="2">
        <v>527.19000000000005</v>
      </c>
      <c r="J749" s="2">
        <v>12798.24</v>
      </c>
      <c r="K749" s="2">
        <v>14761.32</v>
      </c>
      <c r="L749" s="2">
        <v>1963.08</v>
      </c>
    </row>
    <row r="750" spans="1:12" x14ac:dyDescent="0.3">
      <c r="A750" s="6">
        <f ca="1">Table1[[#This Row],[Date]]*1</f>
        <v>45528</v>
      </c>
      <c r="B750" t="s">
        <v>38</v>
      </c>
      <c r="C750" t="s">
        <v>8</v>
      </c>
      <c r="D750" t="s">
        <v>42</v>
      </c>
      <c r="E750" t="s">
        <v>33</v>
      </c>
      <c r="F750" t="s">
        <v>32</v>
      </c>
      <c r="G750" s="2">
        <v>37</v>
      </c>
      <c r="H750" s="2">
        <v>511.92</v>
      </c>
      <c r="I750" s="2">
        <v>726.15</v>
      </c>
      <c r="J750" s="2">
        <v>18941.04</v>
      </c>
      <c r="K750" s="2">
        <v>26867.55</v>
      </c>
      <c r="L750" s="2">
        <v>7926.51</v>
      </c>
    </row>
    <row r="751" spans="1:12" x14ac:dyDescent="0.3">
      <c r="A751" s="6">
        <f ca="1">Table1[[#This Row],[Date]]*1</f>
        <v>45494</v>
      </c>
      <c r="B751" t="s">
        <v>37</v>
      </c>
      <c r="C751" t="s">
        <v>8</v>
      </c>
      <c r="D751" t="s">
        <v>9</v>
      </c>
      <c r="E751" t="s">
        <v>31</v>
      </c>
      <c r="F751" t="s">
        <v>32</v>
      </c>
      <c r="G751" s="2">
        <v>42</v>
      </c>
      <c r="H751" s="2">
        <v>927.21</v>
      </c>
      <c r="I751" s="2">
        <v>1030.82</v>
      </c>
      <c r="J751" s="2">
        <v>38942.82</v>
      </c>
      <c r="K751" s="2">
        <v>43294.44</v>
      </c>
      <c r="L751" s="2">
        <v>4351.62</v>
      </c>
    </row>
    <row r="752" spans="1:12" x14ac:dyDescent="0.3">
      <c r="A752" s="6">
        <f ca="1">Table1[[#This Row],[Date]]*1</f>
        <v>45550</v>
      </c>
      <c r="B752" t="s">
        <v>38</v>
      </c>
      <c r="C752" t="s">
        <v>6</v>
      </c>
      <c r="D752" t="s">
        <v>10</v>
      </c>
      <c r="E752" t="s">
        <v>35</v>
      </c>
      <c r="F752" t="s">
        <v>32</v>
      </c>
      <c r="G752" s="2">
        <v>21</v>
      </c>
      <c r="H752" s="2">
        <v>909.81</v>
      </c>
      <c r="I752" s="2">
        <v>1219.01</v>
      </c>
      <c r="J752" s="2">
        <v>19106.009999999998</v>
      </c>
      <c r="K752" s="2">
        <v>25599.21</v>
      </c>
      <c r="L752" s="2">
        <v>6493.2</v>
      </c>
    </row>
    <row r="753" spans="1:12" x14ac:dyDescent="0.3">
      <c r="A753" s="6">
        <f ca="1">Table1[[#This Row],[Date]]*1</f>
        <v>45498</v>
      </c>
      <c r="B753" t="s">
        <v>45</v>
      </c>
      <c r="C753" t="s">
        <v>6</v>
      </c>
      <c r="D753" t="s">
        <v>10</v>
      </c>
      <c r="E753" t="s">
        <v>35</v>
      </c>
      <c r="F753" t="s">
        <v>32</v>
      </c>
      <c r="G753" s="2">
        <v>33</v>
      </c>
      <c r="H753" s="2">
        <v>405.32</v>
      </c>
      <c r="I753" s="2">
        <v>577.63</v>
      </c>
      <c r="J753" s="2">
        <v>13375.56</v>
      </c>
      <c r="K753" s="2">
        <v>19061.79</v>
      </c>
      <c r="L753" s="2">
        <v>5686.23</v>
      </c>
    </row>
    <row r="754" spans="1:12" x14ac:dyDescent="0.3">
      <c r="A754" s="6">
        <f ca="1">Table1[[#This Row],[Date]]*1</f>
        <v>45637</v>
      </c>
      <c r="B754" t="s">
        <v>39</v>
      </c>
      <c r="C754" t="s">
        <v>2</v>
      </c>
      <c r="D754" t="s">
        <v>5</v>
      </c>
      <c r="E754" t="s">
        <v>35</v>
      </c>
      <c r="F754" t="s">
        <v>32</v>
      </c>
      <c r="G754" s="2">
        <v>42</v>
      </c>
      <c r="H754" s="2">
        <v>132.69</v>
      </c>
      <c r="I754" s="2">
        <v>165.06</v>
      </c>
      <c r="J754" s="2">
        <v>5572.98</v>
      </c>
      <c r="K754" s="2">
        <v>6932.52</v>
      </c>
      <c r="L754" s="2">
        <v>1359.54</v>
      </c>
    </row>
    <row r="755" spans="1:12" x14ac:dyDescent="0.3">
      <c r="A755" s="6">
        <f ca="1">Table1[[#This Row],[Date]]*1</f>
        <v>45340</v>
      </c>
      <c r="B755" t="s">
        <v>30</v>
      </c>
      <c r="C755" t="s">
        <v>6</v>
      </c>
      <c r="D755" t="s">
        <v>7</v>
      </c>
      <c r="E755" t="s">
        <v>33</v>
      </c>
      <c r="F755" t="s">
        <v>32</v>
      </c>
      <c r="G755" s="2">
        <v>37</v>
      </c>
      <c r="H755" s="2">
        <v>859.18</v>
      </c>
      <c r="I755" s="2">
        <v>1174.93</v>
      </c>
      <c r="J755" s="2">
        <v>31789.66</v>
      </c>
      <c r="K755" s="2">
        <v>43472.41</v>
      </c>
      <c r="L755" s="2">
        <v>11682.75</v>
      </c>
    </row>
    <row r="756" spans="1:12" x14ac:dyDescent="0.3">
      <c r="A756" s="6">
        <f ca="1">Table1[[#This Row],[Date]]*1</f>
        <v>45357</v>
      </c>
      <c r="B756" t="s">
        <v>44</v>
      </c>
      <c r="C756" t="s">
        <v>8</v>
      </c>
      <c r="D756" t="s">
        <v>9</v>
      </c>
      <c r="E756" t="s">
        <v>31</v>
      </c>
      <c r="F756" t="s">
        <v>29</v>
      </c>
      <c r="G756" s="2">
        <v>22</v>
      </c>
      <c r="H756" s="2">
        <v>393.76</v>
      </c>
      <c r="I756" s="2">
        <v>562.80999999999995</v>
      </c>
      <c r="J756" s="2">
        <v>8662.7199999999993</v>
      </c>
      <c r="K756" s="2">
        <v>12381.82</v>
      </c>
      <c r="L756" s="2">
        <v>3719.1</v>
      </c>
    </row>
    <row r="757" spans="1:12" x14ac:dyDescent="0.3">
      <c r="A757" s="6">
        <f ca="1">Table1[[#This Row],[Date]]*1</f>
        <v>45615</v>
      </c>
      <c r="B757" t="s">
        <v>34</v>
      </c>
      <c r="C757" t="s">
        <v>6</v>
      </c>
      <c r="D757" t="s">
        <v>17</v>
      </c>
      <c r="E757" t="s">
        <v>31</v>
      </c>
      <c r="F757" t="s">
        <v>32</v>
      </c>
      <c r="G757" s="2">
        <v>34</v>
      </c>
      <c r="H757" s="2">
        <v>687.73</v>
      </c>
      <c r="I757" s="2">
        <v>917.46</v>
      </c>
      <c r="J757" s="2">
        <v>23382.82</v>
      </c>
      <c r="K757" s="2">
        <v>31193.64</v>
      </c>
      <c r="L757" s="2">
        <v>7810.82</v>
      </c>
    </row>
    <row r="758" spans="1:12" x14ac:dyDescent="0.3">
      <c r="A758" s="6">
        <f ca="1">Table1[[#This Row],[Date]]*1</f>
        <v>45569</v>
      </c>
      <c r="B758" t="s">
        <v>39</v>
      </c>
      <c r="C758" t="s">
        <v>2</v>
      </c>
      <c r="D758" t="s">
        <v>5</v>
      </c>
      <c r="E758" t="s">
        <v>33</v>
      </c>
      <c r="F758" t="s">
        <v>29</v>
      </c>
      <c r="G758" s="2">
        <v>46</v>
      </c>
      <c r="H758" s="2">
        <v>237.57</v>
      </c>
      <c r="I758" s="2">
        <v>302.02</v>
      </c>
      <c r="J758" s="2">
        <v>10928.22</v>
      </c>
      <c r="K758" s="2">
        <v>13892.92</v>
      </c>
      <c r="L758" s="2">
        <v>2964.7</v>
      </c>
    </row>
    <row r="759" spans="1:12" x14ac:dyDescent="0.3">
      <c r="A759" s="6">
        <f ca="1">Table1[[#This Row],[Date]]*1</f>
        <v>45435</v>
      </c>
      <c r="B759" t="s">
        <v>44</v>
      </c>
      <c r="C759" t="s">
        <v>6</v>
      </c>
      <c r="D759" t="s">
        <v>7</v>
      </c>
      <c r="E759" t="s">
        <v>31</v>
      </c>
      <c r="F759" t="s">
        <v>32</v>
      </c>
      <c r="G759" s="2">
        <v>34</v>
      </c>
      <c r="H759" s="2">
        <v>518.73</v>
      </c>
      <c r="I759" s="2">
        <v>662.99</v>
      </c>
      <c r="J759" s="2">
        <v>17636.82</v>
      </c>
      <c r="K759" s="2">
        <v>22541.66</v>
      </c>
      <c r="L759" s="2">
        <v>4904.84</v>
      </c>
    </row>
    <row r="760" spans="1:12" x14ac:dyDescent="0.3">
      <c r="A760" s="6">
        <f ca="1">Table1[[#This Row],[Date]]*1</f>
        <v>45517</v>
      </c>
      <c r="B760" t="s">
        <v>41</v>
      </c>
      <c r="C760" t="s">
        <v>8</v>
      </c>
      <c r="D760" t="s">
        <v>16</v>
      </c>
      <c r="E760" t="s">
        <v>35</v>
      </c>
      <c r="F760" t="s">
        <v>29</v>
      </c>
      <c r="G760" s="2">
        <v>26</v>
      </c>
      <c r="H760" s="2">
        <v>699.13</v>
      </c>
      <c r="I760" s="2">
        <v>1018.3</v>
      </c>
      <c r="J760" s="2">
        <v>18177.38</v>
      </c>
      <c r="K760" s="2">
        <v>26475.8</v>
      </c>
      <c r="L760" s="2">
        <v>8298.42</v>
      </c>
    </row>
    <row r="761" spans="1:12" x14ac:dyDescent="0.3">
      <c r="A761" s="6">
        <f ca="1">Table1[[#This Row],[Date]]*1</f>
        <v>45650</v>
      </c>
      <c r="B761" t="s">
        <v>30</v>
      </c>
      <c r="C761" t="s">
        <v>11</v>
      </c>
      <c r="D761" t="s">
        <v>15</v>
      </c>
      <c r="E761" t="s">
        <v>4</v>
      </c>
      <c r="F761" t="s">
        <v>29</v>
      </c>
      <c r="G761" s="2">
        <v>8</v>
      </c>
      <c r="H761" s="2">
        <v>868.2</v>
      </c>
      <c r="I761" s="2">
        <v>1063.3699999999999</v>
      </c>
      <c r="J761" s="2">
        <v>6945.6</v>
      </c>
      <c r="K761" s="2">
        <v>8506.9599999999991</v>
      </c>
      <c r="L761" s="2">
        <v>1561.36</v>
      </c>
    </row>
    <row r="762" spans="1:12" x14ac:dyDescent="0.3">
      <c r="A762" s="6">
        <f ca="1">Table1[[#This Row],[Date]]*1</f>
        <v>45298</v>
      </c>
      <c r="B762" t="s">
        <v>30</v>
      </c>
      <c r="C762" t="s">
        <v>11</v>
      </c>
      <c r="D762" t="s">
        <v>12</v>
      </c>
      <c r="E762" t="s">
        <v>33</v>
      </c>
      <c r="F762" t="s">
        <v>32</v>
      </c>
      <c r="G762" s="2">
        <v>5</v>
      </c>
      <c r="H762" s="2">
        <v>132.69999999999999</v>
      </c>
      <c r="I762" s="2">
        <v>175.26</v>
      </c>
      <c r="J762" s="2">
        <v>663.5</v>
      </c>
      <c r="K762" s="2">
        <v>876.3</v>
      </c>
      <c r="L762" s="2">
        <v>212.8</v>
      </c>
    </row>
    <row r="763" spans="1:12" x14ac:dyDescent="0.3">
      <c r="A763" s="6">
        <f ca="1">Table1[[#This Row],[Date]]*1</f>
        <v>45603</v>
      </c>
      <c r="B763" t="s">
        <v>37</v>
      </c>
      <c r="C763" t="s">
        <v>2</v>
      </c>
      <c r="D763" t="s">
        <v>14</v>
      </c>
      <c r="E763" t="s">
        <v>33</v>
      </c>
      <c r="F763" t="s">
        <v>32</v>
      </c>
      <c r="G763" s="2">
        <v>34</v>
      </c>
      <c r="H763" s="2">
        <v>204.05</v>
      </c>
      <c r="I763" s="2">
        <v>225.97</v>
      </c>
      <c r="J763" s="2">
        <v>6937.7</v>
      </c>
      <c r="K763" s="2">
        <v>7682.98</v>
      </c>
      <c r="L763" s="2">
        <v>745.28</v>
      </c>
    </row>
    <row r="764" spans="1:12" x14ac:dyDescent="0.3">
      <c r="A764" s="6">
        <f ca="1">Table1[[#This Row],[Date]]*1</f>
        <v>45328</v>
      </c>
      <c r="B764" t="s">
        <v>36</v>
      </c>
      <c r="C764" t="s">
        <v>6</v>
      </c>
      <c r="D764" t="s">
        <v>7</v>
      </c>
      <c r="E764" t="s">
        <v>35</v>
      </c>
      <c r="F764" t="s">
        <v>32</v>
      </c>
      <c r="G764" s="2">
        <v>19</v>
      </c>
      <c r="H764" s="2">
        <v>540.77</v>
      </c>
      <c r="I764" s="2">
        <v>705.38</v>
      </c>
      <c r="J764" s="2">
        <v>10274.629999999999</v>
      </c>
      <c r="K764" s="2">
        <v>13402.22</v>
      </c>
      <c r="L764" s="2">
        <v>3127.59</v>
      </c>
    </row>
    <row r="765" spans="1:12" x14ac:dyDescent="0.3">
      <c r="A765" s="6">
        <f ca="1">Table1[[#This Row],[Date]]*1</f>
        <v>45465</v>
      </c>
      <c r="B765" t="s">
        <v>36</v>
      </c>
      <c r="C765" t="s">
        <v>2</v>
      </c>
      <c r="D765" t="s">
        <v>5</v>
      </c>
      <c r="E765" t="s">
        <v>31</v>
      </c>
      <c r="F765" t="s">
        <v>29</v>
      </c>
      <c r="G765" s="2">
        <v>39</v>
      </c>
      <c r="H765" s="2">
        <v>324.5</v>
      </c>
      <c r="I765" s="2">
        <v>429.96</v>
      </c>
      <c r="J765" s="2">
        <v>12655.5</v>
      </c>
      <c r="K765" s="2">
        <v>16768.439999999999</v>
      </c>
      <c r="L765" s="2">
        <v>4112.9399999999996</v>
      </c>
    </row>
    <row r="766" spans="1:12" x14ac:dyDescent="0.3">
      <c r="A766" s="6">
        <f ca="1">Table1[[#This Row],[Date]]*1</f>
        <v>45335</v>
      </c>
      <c r="B766" t="s">
        <v>44</v>
      </c>
      <c r="C766" t="s">
        <v>2</v>
      </c>
      <c r="D766" t="s">
        <v>3</v>
      </c>
      <c r="E766" t="s">
        <v>31</v>
      </c>
      <c r="F766" t="s">
        <v>32</v>
      </c>
      <c r="G766" s="2">
        <v>35</v>
      </c>
      <c r="H766" s="2">
        <v>917.14</v>
      </c>
      <c r="I766" s="2">
        <v>1162.78</v>
      </c>
      <c r="J766" s="2">
        <v>32099.9</v>
      </c>
      <c r="K766" s="2">
        <v>40697.300000000003</v>
      </c>
      <c r="L766" s="2">
        <v>8597.4</v>
      </c>
    </row>
    <row r="767" spans="1:12" x14ac:dyDescent="0.3">
      <c r="A767" s="6">
        <f ca="1">Table1[[#This Row],[Date]]*1</f>
        <v>45308</v>
      </c>
      <c r="B767" t="s">
        <v>45</v>
      </c>
      <c r="C767" t="s">
        <v>8</v>
      </c>
      <c r="D767" t="s">
        <v>42</v>
      </c>
      <c r="E767" t="s">
        <v>31</v>
      </c>
      <c r="F767" t="s">
        <v>32</v>
      </c>
      <c r="G767" s="2">
        <v>2</v>
      </c>
      <c r="H767" s="2">
        <v>66.62</v>
      </c>
      <c r="I767" s="2">
        <v>83.09</v>
      </c>
      <c r="J767" s="2">
        <v>133.24</v>
      </c>
      <c r="K767" s="2">
        <v>166.18</v>
      </c>
      <c r="L767" s="2">
        <v>32.94</v>
      </c>
    </row>
    <row r="768" spans="1:12" x14ac:dyDescent="0.3">
      <c r="A768" s="6">
        <f ca="1">Table1[[#This Row],[Date]]*1</f>
        <v>45292</v>
      </c>
      <c r="B768" t="s">
        <v>34</v>
      </c>
      <c r="C768" t="s">
        <v>11</v>
      </c>
      <c r="D768" t="s">
        <v>13</v>
      </c>
      <c r="E768" t="s">
        <v>33</v>
      </c>
      <c r="F768" t="s">
        <v>32</v>
      </c>
      <c r="G768" s="2">
        <v>46</v>
      </c>
      <c r="H768" s="2">
        <v>72.13</v>
      </c>
      <c r="I768" s="2">
        <v>105.87</v>
      </c>
      <c r="J768" s="2">
        <v>3317.98</v>
      </c>
      <c r="K768" s="2">
        <v>4870.0200000000004</v>
      </c>
      <c r="L768" s="2">
        <v>1552.04</v>
      </c>
    </row>
    <row r="769" spans="1:12" x14ac:dyDescent="0.3">
      <c r="A769" s="6">
        <f ca="1">Table1[[#This Row],[Date]]*1</f>
        <v>45563</v>
      </c>
      <c r="B769" t="s">
        <v>39</v>
      </c>
      <c r="C769" t="s">
        <v>2</v>
      </c>
      <c r="D769" t="s">
        <v>5</v>
      </c>
      <c r="E769" t="s">
        <v>4</v>
      </c>
      <c r="F769" t="s">
        <v>32</v>
      </c>
      <c r="G769" s="2">
        <v>40</v>
      </c>
      <c r="H769" s="2">
        <v>218.36</v>
      </c>
      <c r="I769" s="2">
        <v>281.58999999999997</v>
      </c>
      <c r="J769" s="2">
        <v>8734.4</v>
      </c>
      <c r="K769" s="2">
        <v>11263.6</v>
      </c>
      <c r="L769" s="2">
        <v>2529.1999999999998</v>
      </c>
    </row>
    <row r="770" spans="1:12" x14ac:dyDescent="0.3">
      <c r="A770" s="6">
        <f ca="1">Table1[[#This Row],[Date]]*1</f>
        <v>45491</v>
      </c>
      <c r="B770" t="s">
        <v>44</v>
      </c>
      <c r="C770" t="s">
        <v>11</v>
      </c>
      <c r="D770" t="s">
        <v>13</v>
      </c>
      <c r="E770" t="s">
        <v>43</v>
      </c>
      <c r="F770" t="s">
        <v>32</v>
      </c>
      <c r="G770" s="2">
        <v>13</v>
      </c>
      <c r="H770" s="2">
        <v>103.02</v>
      </c>
      <c r="I770" s="2">
        <v>120.94</v>
      </c>
      <c r="J770" s="2">
        <v>1339.26</v>
      </c>
      <c r="K770" s="2">
        <v>1572.22</v>
      </c>
      <c r="L770" s="2">
        <v>232.96</v>
      </c>
    </row>
    <row r="771" spans="1:12" x14ac:dyDescent="0.3">
      <c r="A771" s="6">
        <f ca="1">Table1[[#This Row],[Date]]*1</f>
        <v>45553</v>
      </c>
      <c r="B771" t="s">
        <v>36</v>
      </c>
      <c r="C771" t="s">
        <v>6</v>
      </c>
      <c r="D771" t="s">
        <v>17</v>
      </c>
      <c r="E771" t="s">
        <v>31</v>
      </c>
      <c r="F771" t="s">
        <v>32</v>
      </c>
      <c r="G771" s="2">
        <v>25</v>
      </c>
      <c r="H771" s="2">
        <v>262.52999999999997</v>
      </c>
      <c r="I771" s="2">
        <v>337.78</v>
      </c>
      <c r="J771" s="2">
        <v>6563.25</v>
      </c>
      <c r="K771" s="2">
        <v>8444.5</v>
      </c>
      <c r="L771" s="2">
        <v>1881.25</v>
      </c>
    </row>
    <row r="772" spans="1:12" x14ac:dyDescent="0.3">
      <c r="A772" s="6">
        <f ca="1">Table1[[#This Row],[Date]]*1</f>
        <v>45568</v>
      </c>
      <c r="B772" t="s">
        <v>41</v>
      </c>
      <c r="C772" t="s">
        <v>11</v>
      </c>
      <c r="D772" t="s">
        <v>12</v>
      </c>
      <c r="E772" t="s">
        <v>35</v>
      </c>
      <c r="F772" t="s">
        <v>29</v>
      </c>
      <c r="G772" s="2">
        <v>44</v>
      </c>
      <c r="H772" s="2">
        <v>924.02</v>
      </c>
      <c r="I772" s="2">
        <v>1051.79</v>
      </c>
      <c r="J772" s="2">
        <v>40656.879999999997</v>
      </c>
      <c r="K772" s="2">
        <v>46278.76</v>
      </c>
      <c r="L772" s="2">
        <v>5621.88</v>
      </c>
    </row>
    <row r="773" spans="1:12" x14ac:dyDescent="0.3">
      <c r="A773" s="6">
        <f ca="1">Table1[[#This Row],[Date]]*1</f>
        <v>45528</v>
      </c>
      <c r="B773" t="s">
        <v>45</v>
      </c>
      <c r="C773" t="s">
        <v>2</v>
      </c>
      <c r="D773" t="s">
        <v>14</v>
      </c>
      <c r="E773" t="s">
        <v>35</v>
      </c>
      <c r="F773" t="s">
        <v>29</v>
      </c>
      <c r="G773" s="2">
        <v>29</v>
      </c>
      <c r="H773" s="2">
        <v>284.88</v>
      </c>
      <c r="I773" s="2">
        <v>397.12</v>
      </c>
      <c r="J773" s="2">
        <v>8261.52</v>
      </c>
      <c r="K773" s="2">
        <v>11516.48</v>
      </c>
      <c r="L773" s="2">
        <v>3254.96</v>
      </c>
    </row>
    <row r="774" spans="1:12" x14ac:dyDescent="0.3">
      <c r="A774" s="6">
        <f ca="1">Table1[[#This Row],[Date]]*1</f>
        <v>45505</v>
      </c>
      <c r="B774" t="s">
        <v>45</v>
      </c>
      <c r="C774" t="s">
        <v>6</v>
      </c>
      <c r="D774" t="s">
        <v>7</v>
      </c>
      <c r="E774" t="s">
        <v>40</v>
      </c>
      <c r="F774" t="s">
        <v>32</v>
      </c>
      <c r="G774" s="2">
        <v>24</v>
      </c>
      <c r="H774" s="2">
        <v>292.54000000000002</v>
      </c>
      <c r="I774" s="2">
        <v>406.5</v>
      </c>
      <c r="J774" s="2">
        <v>7020.96</v>
      </c>
      <c r="K774" s="2">
        <v>9756</v>
      </c>
      <c r="L774" s="2">
        <v>2735.04</v>
      </c>
    </row>
    <row r="775" spans="1:12" x14ac:dyDescent="0.3">
      <c r="A775" s="6">
        <f ca="1">Table1[[#This Row],[Date]]*1</f>
        <v>45314</v>
      </c>
      <c r="B775" t="s">
        <v>34</v>
      </c>
      <c r="C775" t="s">
        <v>2</v>
      </c>
      <c r="D775" t="s">
        <v>14</v>
      </c>
      <c r="E775" t="s">
        <v>40</v>
      </c>
      <c r="F775" t="s">
        <v>29</v>
      </c>
      <c r="G775" s="2">
        <v>8</v>
      </c>
      <c r="H775" s="2">
        <v>655.29</v>
      </c>
      <c r="I775" s="2">
        <v>898.79</v>
      </c>
      <c r="J775" s="2">
        <v>5242.32</v>
      </c>
      <c r="K775" s="2">
        <v>7190.32</v>
      </c>
      <c r="L775" s="2">
        <v>1948</v>
      </c>
    </row>
    <row r="776" spans="1:12" x14ac:dyDescent="0.3">
      <c r="A776" s="6">
        <f ca="1">Table1[[#This Row],[Date]]*1</f>
        <v>45576</v>
      </c>
      <c r="B776" t="s">
        <v>34</v>
      </c>
      <c r="C776" t="s">
        <v>2</v>
      </c>
      <c r="D776" t="s">
        <v>3</v>
      </c>
      <c r="E776" t="s">
        <v>33</v>
      </c>
      <c r="F776" t="s">
        <v>29</v>
      </c>
      <c r="G776" s="2">
        <v>36</v>
      </c>
      <c r="H776" s="2">
        <v>280.75</v>
      </c>
      <c r="I776" s="2">
        <v>409.83</v>
      </c>
      <c r="J776" s="2">
        <v>10107</v>
      </c>
      <c r="K776" s="2">
        <v>14753.88</v>
      </c>
      <c r="L776" s="2">
        <v>4646.88</v>
      </c>
    </row>
    <row r="777" spans="1:12" x14ac:dyDescent="0.3">
      <c r="A777" s="6">
        <f ca="1">Table1[[#This Row],[Date]]*1</f>
        <v>45334</v>
      </c>
      <c r="B777" t="s">
        <v>28</v>
      </c>
      <c r="C777" t="s">
        <v>6</v>
      </c>
      <c r="D777" t="s">
        <v>7</v>
      </c>
      <c r="E777" t="s">
        <v>43</v>
      </c>
      <c r="F777" t="s">
        <v>29</v>
      </c>
      <c r="G777" s="2">
        <v>14</v>
      </c>
      <c r="H777" s="2">
        <v>75.83</v>
      </c>
      <c r="I777" s="2">
        <v>102.76</v>
      </c>
      <c r="J777" s="2">
        <v>1061.6199999999999</v>
      </c>
      <c r="K777" s="2">
        <v>1438.64</v>
      </c>
      <c r="L777" s="2">
        <v>377.02</v>
      </c>
    </row>
    <row r="778" spans="1:12" x14ac:dyDescent="0.3">
      <c r="A778" s="6">
        <f ca="1">Table1[[#This Row],[Date]]*1</f>
        <v>45618</v>
      </c>
      <c r="B778" t="s">
        <v>37</v>
      </c>
      <c r="C778" t="s">
        <v>6</v>
      </c>
      <c r="D778" t="s">
        <v>7</v>
      </c>
      <c r="E778" t="s">
        <v>33</v>
      </c>
      <c r="F778" t="s">
        <v>32</v>
      </c>
      <c r="G778" s="2">
        <v>22</v>
      </c>
      <c r="H778" s="2">
        <v>243.09</v>
      </c>
      <c r="I778" s="2">
        <v>320.91000000000003</v>
      </c>
      <c r="J778" s="2">
        <v>5347.98</v>
      </c>
      <c r="K778" s="2">
        <v>7060.02</v>
      </c>
      <c r="L778" s="2">
        <v>1712.04</v>
      </c>
    </row>
    <row r="779" spans="1:12" x14ac:dyDescent="0.3">
      <c r="A779" s="6">
        <f ca="1">Table1[[#This Row],[Date]]*1</f>
        <v>45320</v>
      </c>
      <c r="B779" t="s">
        <v>36</v>
      </c>
      <c r="C779" t="s">
        <v>2</v>
      </c>
      <c r="D779" t="s">
        <v>14</v>
      </c>
      <c r="E779" t="s">
        <v>31</v>
      </c>
      <c r="F779" t="s">
        <v>29</v>
      </c>
      <c r="G779" s="2">
        <v>22</v>
      </c>
      <c r="H779" s="2">
        <v>950.99</v>
      </c>
      <c r="I779" s="2">
        <v>1360.4</v>
      </c>
      <c r="J779" s="2">
        <v>20921.78</v>
      </c>
      <c r="K779" s="2">
        <v>29928.799999999999</v>
      </c>
      <c r="L779" s="2">
        <v>9007.02</v>
      </c>
    </row>
    <row r="780" spans="1:12" x14ac:dyDescent="0.3">
      <c r="A780" s="6">
        <f ca="1">Table1[[#This Row],[Date]]*1</f>
        <v>45528</v>
      </c>
      <c r="B780" t="s">
        <v>36</v>
      </c>
      <c r="C780" t="s">
        <v>11</v>
      </c>
      <c r="D780" t="s">
        <v>13</v>
      </c>
      <c r="E780" t="s">
        <v>40</v>
      </c>
      <c r="F780" t="s">
        <v>29</v>
      </c>
      <c r="G780" s="2">
        <v>29</v>
      </c>
      <c r="H780" s="2">
        <v>332.37</v>
      </c>
      <c r="I780" s="2">
        <v>474.93</v>
      </c>
      <c r="J780" s="2">
        <v>9638.73</v>
      </c>
      <c r="K780" s="2">
        <v>13772.97</v>
      </c>
      <c r="L780" s="2">
        <v>4134.24</v>
      </c>
    </row>
    <row r="781" spans="1:12" x14ac:dyDescent="0.3">
      <c r="A781" s="6">
        <f ca="1">Table1[[#This Row],[Date]]*1</f>
        <v>45631</v>
      </c>
      <c r="B781" t="s">
        <v>37</v>
      </c>
      <c r="C781" t="s">
        <v>6</v>
      </c>
      <c r="D781" t="s">
        <v>17</v>
      </c>
      <c r="E781" t="s">
        <v>43</v>
      </c>
      <c r="F781" t="s">
        <v>29</v>
      </c>
      <c r="G781" s="2">
        <v>19</v>
      </c>
      <c r="H781" s="2">
        <v>991.16</v>
      </c>
      <c r="I781" s="2">
        <v>1174.23</v>
      </c>
      <c r="J781" s="2">
        <v>18832.04</v>
      </c>
      <c r="K781" s="2">
        <v>22310.37</v>
      </c>
      <c r="L781" s="2">
        <v>3478.33</v>
      </c>
    </row>
    <row r="782" spans="1:12" x14ac:dyDescent="0.3">
      <c r="A782" s="6">
        <f ca="1">Table1[[#This Row],[Date]]*1</f>
        <v>45637</v>
      </c>
      <c r="B782" t="s">
        <v>45</v>
      </c>
      <c r="C782" t="s">
        <v>6</v>
      </c>
      <c r="D782" t="s">
        <v>10</v>
      </c>
      <c r="E782" t="s">
        <v>40</v>
      </c>
      <c r="F782" t="s">
        <v>32</v>
      </c>
      <c r="G782" s="2">
        <v>39</v>
      </c>
      <c r="H782" s="2">
        <v>983.73</v>
      </c>
      <c r="I782" s="2">
        <v>1341.66</v>
      </c>
      <c r="J782" s="2">
        <v>38365.47</v>
      </c>
      <c r="K782" s="2">
        <v>52324.74</v>
      </c>
      <c r="L782" s="2">
        <v>13959.27</v>
      </c>
    </row>
    <row r="783" spans="1:12" x14ac:dyDescent="0.3">
      <c r="A783" s="6">
        <f ca="1">Table1[[#This Row],[Date]]*1</f>
        <v>45526</v>
      </c>
      <c r="B783" t="s">
        <v>28</v>
      </c>
      <c r="C783" t="s">
        <v>2</v>
      </c>
      <c r="D783" t="s">
        <v>5</v>
      </c>
      <c r="E783" t="s">
        <v>43</v>
      </c>
      <c r="F783" t="s">
        <v>29</v>
      </c>
      <c r="G783" s="2">
        <v>39</v>
      </c>
      <c r="H783" s="2">
        <v>571.23</v>
      </c>
      <c r="I783" s="2">
        <v>723.89</v>
      </c>
      <c r="J783" s="2">
        <v>22277.97</v>
      </c>
      <c r="K783" s="2">
        <v>28231.71</v>
      </c>
      <c r="L783" s="2">
        <v>5953.74</v>
      </c>
    </row>
    <row r="784" spans="1:12" x14ac:dyDescent="0.3">
      <c r="A784" s="6">
        <f ca="1">Table1[[#This Row],[Date]]*1</f>
        <v>45467</v>
      </c>
      <c r="B784" t="s">
        <v>44</v>
      </c>
      <c r="C784" t="s">
        <v>8</v>
      </c>
      <c r="D784" t="s">
        <v>42</v>
      </c>
      <c r="E784" t="s">
        <v>31</v>
      </c>
      <c r="F784" t="s">
        <v>32</v>
      </c>
      <c r="G784" s="2">
        <v>29</v>
      </c>
      <c r="H784" s="2">
        <v>990.61</v>
      </c>
      <c r="I784" s="2">
        <v>1230.48</v>
      </c>
      <c r="J784" s="2">
        <v>28727.69</v>
      </c>
      <c r="K784" s="2">
        <v>35683.919999999998</v>
      </c>
      <c r="L784" s="2">
        <v>6956.23</v>
      </c>
    </row>
    <row r="785" spans="1:12" x14ac:dyDescent="0.3">
      <c r="A785" s="6">
        <f ca="1">Table1[[#This Row],[Date]]*1</f>
        <v>45351</v>
      </c>
      <c r="B785" t="s">
        <v>34</v>
      </c>
      <c r="C785" t="s">
        <v>2</v>
      </c>
      <c r="D785" t="s">
        <v>5</v>
      </c>
      <c r="E785" t="s">
        <v>40</v>
      </c>
      <c r="F785" t="s">
        <v>32</v>
      </c>
      <c r="G785" s="2">
        <v>20</v>
      </c>
      <c r="H785" s="2">
        <v>881.75</v>
      </c>
      <c r="I785" s="2">
        <v>1099.3399999999999</v>
      </c>
      <c r="J785" s="2">
        <v>17635</v>
      </c>
      <c r="K785" s="2">
        <v>21986.799999999999</v>
      </c>
      <c r="L785" s="2">
        <v>4351.8</v>
      </c>
    </row>
    <row r="786" spans="1:12" x14ac:dyDescent="0.3">
      <c r="A786" s="6">
        <f ca="1">Table1[[#This Row],[Date]]*1</f>
        <v>45429</v>
      </c>
      <c r="B786" t="s">
        <v>39</v>
      </c>
      <c r="C786" t="s">
        <v>2</v>
      </c>
      <c r="D786" t="s">
        <v>5</v>
      </c>
      <c r="E786" t="s">
        <v>43</v>
      </c>
      <c r="F786" t="s">
        <v>32</v>
      </c>
      <c r="G786" s="2">
        <v>27</v>
      </c>
      <c r="H786" s="2">
        <v>941.54</v>
      </c>
      <c r="I786" s="2">
        <v>1292.9000000000001</v>
      </c>
      <c r="J786" s="2">
        <v>25421.58</v>
      </c>
      <c r="K786" s="2">
        <v>34908.300000000003</v>
      </c>
      <c r="L786" s="2">
        <v>9486.7199999999993</v>
      </c>
    </row>
    <row r="787" spans="1:12" x14ac:dyDescent="0.3">
      <c r="A787" s="6">
        <f ca="1">Table1[[#This Row],[Date]]*1</f>
        <v>45469</v>
      </c>
      <c r="B787" t="s">
        <v>38</v>
      </c>
      <c r="C787" t="s">
        <v>11</v>
      </c>
      <c r="D787" t="s">
        <v>12</v>
      </c>
      <c r="E787" t="s">
        <v>33</v>
      </c>
      <c r="F787" t="s">
        <v>32</v>
      </c>
      <c r="G787" s="2">
        <v>29</v>
      </c>
      <c r="H787" s="2">
        <v>828.41</v>
      </c>
      <c r="I787" s="2">
        <v>1090.1300000000001</v>
      </c>
      <c r="J787" s="2">
        <v>24023.89</v>
      </c>
      <c r="K787" s="2">
        <v>31613.77</v>
      </c>
      <c r="L787" s="2">
        <v>7589.88</v>
      </c>
    </row>
    <row r="788" spans="1:12" x14ac:dyDescent="0.3">
      <c r="A788" s="6">
        <f ca="1">Table1[[#This Row],[Date]]*1</f>
        <v>45493</v>
      </c>
      <c r="B788" t="s">
        <v>34</v>
      </c>
      <c r="C788" t="s">
        <v>6</v>
      </c>
      <c r="D788" t="s">
        <v>10</v>
      </c>
      <c r="E788" t="s">
        <v>31</v>
      </c>
      <c r="F788" t="s">
        <v>29</v>
      </c>
      <c r="G788" s="2">
        <v>23</v>
      </c>
      <c r="H788" s="2">
        <v>873.3</v>
      </c>
      <c r="I788" s="2">
        <v>1185.69</v>
      </c>
      <c r="J788" s="2">
        <v>20085.900000000001</v>
      </c>
      <c r="K788" s="2">
        <v>27270.87</v>
      </c>
      <c r="L788" s="2">
        <v>7184.97</v>
      </c>
    </row>
    <row r="789" spans="1:12" x14ac:dyDescent="0.3">
      <c r="A789" s="6">
        <f ca="1">Table1[[#This Row],[Date]]*1</f>
        <v>45426</v>
      </c>
      <c r="B789" t="s">
        <v>30</v>
      </c>
      <c r="C789" t="s">
        <v>6</v>
      </c>
      <c r="D789" t="s">
        <v>7</v>
      </c>
      <c r="E789" t="s">
        <v>40</v>
      </c>
      <c r="F789" t="s">
        <v>29</v>
      </c>
      <c r="G789" s="2">
        <v>26</v>
      </c>
      <c r="H789" s="2">
        <v>458.27</v>
      </c>
      <c r="I789" s="2">
        <v>572.27</v>
      </c>
      <c r="J789" s="2">
        <v>11915.02</v>
      </c>
      <c r="K789" s="2">
        <v>14879.02</v>
      </c>
      <c r="L789" s="2">
        <v>2964</v>
      </c>
    </row>
    <row r="790" spans="1:12" x14ac:dyDescent="0.3">
      <c r="A790" s="6">
        <f ca="1">Table1[[#This Row],[Date]]*1</f>
        <v>45376</v>
      </c>
      <c r="B790" t="s">
        <v>45</v>
      </c>
      <c r="C790" t="s">
        <v>11</v>
      </c>
      <c r="D790" t="s">
        <v>15</v>
      </c>
      <c r="E790" t="s">
        <v>4</v>
      </c>
      <c r="F790" t="s">
        <v>29</v>
      </c>
      <c r="G790" s="2">
        <v>31</v>
      </c>
      <c r="H790" s="2">
        <v>272.27999999999997</v>
      </c>
      <c r="I790" s="2">
        <v>344.03</v>
      </c>
      <c r="J790" s="2">
        <v>8440.68</v>
      </c>
      <c r="K790" s="2">
        <v>10664.93</v>
      </c>
      <c r="L790" s="2">
        <v>2224.25</v>
      </c>
    </row>
    <row r="791" spans="1:12" x14ac:dyDescent="0.3">
      <c r="A791" s="6">
        <f ca="1">Table1[[#This Row],[Date]]*1</f>
        <v>45600</v>
      </c>
      <c r="B791" t="s">
        <v>37</v>
      </c>
      <c r="C791" t="s">
        <v>2</v>
      </c>
      <c r="D791" t="s">
        <v>3</v>
      </c>
      <c r="E791" t="s">
        <v>4</v>
      </c>
      <c r="F791" t="s">
        <v>29</v>
      </c>
      <c r="G791" s="2">
        <v>10</v>
      </c>
      <c r="H791" s="2">
        <v>561.66</v>
      </c>
      <c r="I791" s="2">
        <v>781.43</v>
      </c>
      <c r="J791" s="2">
        <v>5616.6</v>
      </c>
      <c r="K791" s="2">
        <v>7814.3</v>
      </c>
      <c r="L791" s="2">
        <v>2197.6999999999998</v>
      </c>
    </row>
    <row r="792" spans="1:12" x14ac:dyDescent="0.3">
      <c r="A792" s="6">
        <f ca="1">Table1[[#This Row],[Date]]*1</f>
        <v>45557</v>
      </c>
      <c r="B792" t="s">
        <v>34</v>
      </c>
      <c r="C792" t="s">
        <v>11</v>
      </c>
      <c r="D792" t="s">
        <v>12</v>
      </c>
      <c r="E792" t="s">
        <v>33</v>
      </c>
      <c r="F792" t="s">
        <v>29</v>
      </c>
      <c r="G792" s="2">
        <v>44</v>
      </c>
      <c r="H792" s="2">
        <v>590.38</v>
      </c>
      <c r="I792" s="2">
        <v>776.45</v>
      </c>
      <c r="J792" s="2">
        <v>25976.720000000001</v>
      </c>
      <c r="K792" s="2">
        <v>34163.800000000003</v>
      </c>
      <c r="L792" s="2">
        <v>8187.08</v>
      </c>
    </row>
    <row r="793" spans="1:12" x14ac:dyDescent="0.3">
      <c r="A793" s="6">
        <f ca="1">Table1[[#This Row],[Date]]*1</f>
        <v>45335</v>
      </c>
      <c r="B793" t="s">
        <v>30</v>
      </c>
      <c r="C793" t="s">
        <v>2</v>
      </c>
      <c r="D793" t="s">
        <v>5</v>
      </c>
      <c r="E793" t="s">
        <v>4</v>
      </c>
      <c r="F793" t="s">
        <v>29</v>
      </c>
      <c r="G793" s="2">
        <v>41</v>
      </c>
      <c r="H793" s="2">
        <v>335.05</v>
      </c>
      <c r="I793" s="2">
        <v>416.38</v>
      </c>
      <c r="J793" s="2">
        <v>13737.05</v>
      </c>
      <c r="K793" s="2">
        <v>17071.580000000002</v>
      </c>
      <c r="L793" s="2">
        <v>3334.53</v>
      </c>
    </row>
    <row r="794" spans="1:12" x14ac:dyDescent="0.3">
      <c r="A794" s="6">
        <f ca="1">Table1[[#This Row],[Date]]*1</f>
        <v>45623</v>
      </c>
      <c r="B794" t="s">
        <v>39</v>
      </c>
      <c r="C794" t="s">
        <v>8</v>
      </c>
      <c r="D794" t="s">
        <v>9</v>
      </c>
      <c r="E794" t="s">
        <v>31</v>
      </c>
      <c r="F794" t="s">
        <v>29</v>
      </c>
      <c r="G794" s="2">
        <v>44</v>
      </c>
      <c r="H794" s="2">
        <v>396.28</v>
      </c>
      <c r="I794" s="2">
        <v>563.79999999999995</v>
      </c>
      <c r="J794" s="2">
        <v>17436.32</v>
      </c>
      <c r="K794" s="2">
        <v>24807.200000000001</v>
      </c>
      <c r="L794" s="2">
        <v>7370.88</v>
      </c>
    </row>
    <row r="795" spans="1:12" x14ac:dyDescent="0.3">
      <c r="A795" s="6">
        <f ca="1">Table1[[#This Row],[Date]]*1</f>
        <v>45531</v>
      </c>
      <c r="B795" t="s">
        <v>34</v>
      </c>
      <c r="C795" t="s">
        <v>11</v>
      </c>
      <c r="D795" t="s">
        <v>15</v>
      </c>
      <c r="E795" t="s">
        <v>4</v>
      </c>
      <c r="F795" t="s">
        <v>29</v>
      </c>
      <c r="G795" s="2">
        <v>42</v>
      </c>
      <c r="H795" s="2">
        <v>663.35</v>
      </c>
      <c r="I795" s="2">
        <v>865.97</v>
      </c>
      <c r="J795" s="2">
        <v>27860.7</v>
      </c>
      <c r="K795" s="2">
        <v>36370.74</v>
      </c>
      <c r="L795" s="2">
        <v>8510.0400000000009</v>
      </c>
    </row>
    <row r="796" spans="1:12" x14ac:dyDescent="0.3">
      <c r="A796" s="6">
        <f ca="1">Table1[[#This Row],[Date]]*1</f>
        <v>45379</v>
      </c>
      <c r="B796" t="s">
        <v>41</v>
      </c>
      <c r="C796" t="s">
        <v>6</v>
      </c>
      <c r="D796" t="s">
        <v>17</v>
      </c>
      <c r="E796" t="s">
        <v>33</v>
      </c>
      <c r="F796" t="s">
        <v>29</v>
      </c>
      <c r="G796" s="2">
        <v>10</v>
      </c>
      <c r="H796" s="2">
        <v>373.26</v>
      </c>
      <c r="I796" s="2">
        <v>545.12</v>
      </c>
      <c r="J796" s="2">
        <v>3732.6</v>
      </c>
      <c r="K796" s="2">
        <v>5451.2</v>
      </c>
      <c r="L796" s="2">
        <v>1718.6</v>
      </c>
    </row>
    <row r="797" spans="1:12" x14ac:dyDescent="0.3">
      <c r="A797" s="6">
        <f ca="1">Table1[[#This Row],[Date]]*1</f>
        <v>45452</v>
      </c>
      <c r="B797" t="s">
        <v>45</v>
      </c>
      <c r="C797" t="s">
        <v>6</v>
      </c>
      <c r="D797" t="s">
        <v>17</v>
      </c>
      <c r="E797" t="s">
        <v>40</v>
      </c>
      <c r="F797" t="s">
        <v>32</v>
      </c>
      <c r="G797" s="2">
        <v>7</v>
      </c>
      <c r="H797" s="2">
        <v>752.45</v>
      </c>
      <c r="I797" s="2">
        <v>997.49</v>
      </c>
      <c r="J797" s="2">
        <v>5267.15</v>
      </c>
      <c r="K797" s="2">
        <v>6982.43</v>
      </c>
      <c r="L797" s="2">
        <v>1715.28</v>
      </c>
    </row>
    <row r="798" spans="1:12" x14ac:dyDescent="0.3">
      <c r="A798" s="6">
        <f ca="1">Table1[[#This Row],[Date]]*1</f>
        <v>45336</v>
      </c>
      <c r="B798" t="s">
        <v>44</v>
      </c>
      <c r="C798" t="s">
        <v>8</v>
      </c>
      <c r="D798" t="s">
        <v>16</v>
      </c>
      <c r="E798" t="s">
        <v>4</v>
      </c>
      <c r="F798" t="s">
        <v>29</v>
      </c>
      <c r="G798" s="2">
        <v>29</v>
      </c>
      <c r="H798" s="2">
        <v>414.65</v>
      </c>
      <c r="I798" s="2">
        <v>566.29999999999995</v>
      </c>
      <c r="J798" s="2">
        <v>12024.85</v>
      </c>
      <c r="K798" s="2">
        <v>16422.7</v>
      </c>
      <c r="L798" s="2">
        <v>4397.8500000000004</v>
      </c>
    </row>
    <row r="799" spans="1:12" x14ac:dyDescent="0.3">
      <c r="A799" s="6">
        <f ca="1">Table1[[#This Row],[Date]]*1</f>
        <v>45556</v>
      </c>
      <c r="B799" t="s">
        <v>30</v>
      </c>
      <c r="C799" t="s">
        <v>2</v>
      </c>
      <c r="D799" t="s">
        <v>5</v>
      </c>
      <c r="E799" t="s">
        <v>33</v>
      </c>
      <c r="F799" t="s">
        <v>29</v>
      </c>
      <c r="G799" s="2">
        <v>35</v>
      </c>
      <c r="H799" s="2">
        <v>335.04</v>
      </c>
      <c r="I799" s="2">
        <v>410.77</v>
      </c>
      <c r="J799" s="2">
        <v>11726.4</v>
      </c>
      <c r="K799" s="2">
        <v>14376.95</v>
      </c>
      <c r="L799" s="2">
        <v>2650.55</v>
      </c>
    </row>
    <row r="800" spans="1:12" x14ac:dyDescent="0.3">
      <c r="A800" s="6">
        <f ca="1">Table1[[#This Row],[Date]]*1</f>
        <v>45436</v>
      </c>
      <c r="B800" t="s">
        <v>44</v>
      </c>
      <c r="C800" t="s">
        <v>11</v>
      </c>
      <c r="D800" t="s">
        <v>12</v>
      </c>
      <c r="E800" t="s">
        <v>35</v>
      </c>
      <c r="F800" t="s">
        <v>29</v>
      </c>
      <c r="G800" s="2">
        <v>35</v>
      </c>
      <c r="H800" s="2">
        <v>827.31</v>
      </c>
      <c r="I800" s="2">
        <v>1116.56</v>
      </c>
      <c r="J800" s="2">
        <v>28955.85</v>
      </c>
      <c r="K800" s="2">
        <v>39079.599999999999</v>
      </c>
      <c r="L800" s="2">
        <v>10123.75</v>
      </c>
    </row>
    <row r="801" spans="1:12" x14ac:dyDescent="0.3">
      <c r="A801" s="6">
        <f ca="1">Table1[[#This Row],[Date]]*1</f>
        <v>45536</v>
      </c>
      <c r="B801" t="s">
        <v>37</v>
      </c>
      <c r="C801" t="s">
        <v>8</v>
      </c>
      <c r="D801" t="s">
        <v>16</v>
      </c>
      <c r="E801" t="s">
        <v>35</v>
      </c>
      <c r="F801" t="s">
        <v>32</v>
      </c>
      <c r="G801" s="2">
        <v>18</v>
      </c>
      <c r="H801" s="2">
        <v>723.01</v>
      </c>
      <c r="I801" s="2">
        <v>928.46</v>
      </c>
      <c r="J801" s="2">
        <v>13014.18</v>
      </c>
      <c r="K801" s="2">
        <v>16712.28</v>
      </c>
      <c r="L801" s="2">
        <v>3698.1</v>
      </c>
    </row>
    <row r="802" spans="1:12" x14ac:dyDescent="0.3">
      <c r="A802" s="6">
        <f ca="1">Table1[[#This Row],[Date]]*1</f>
        <v>45470</v>
      </c>
      <c r="B802" t="s">
        <v>38</v>
      </c>
      <c r="C802" t="s">
        <v>6</v>
      </c>
      <c r="D802" t="s">
        <v>7</v>
      </c>
      <c r="E802" t="s">
        <v>31</v>
      </c>
      <c r="F802" t="s">
        <v>32</v>
      </c>
      <c r="G802" s="2">
        <v>33</v>
      </c>
      <c r="H802" s="2">
        <v>528.86</v>
      </c>
      <c r="I802" s="2">
        <v>768.1</v>
      </c>
      <c r="J802" s="2">
        <v>17452.38</v>
      </c>
      <c r="K802" s="2">
        <v>25347.3</v>
      </c>
      <c r="L802" s="2">
        <v>7894.92</v>
      </c>
    </row>
    <row r="803" spans="1:12" x14ac:dyDescent="0.3">
      <c r="A803" s="6">
        <f ca="1">Table1[[#This Row],[Date]]*1</f>
        <v>45587</v>
      </c>
      <c r="B803" t="s">
        <v>34</v>
      </c>
      <c r="C803" t="s">
        <v>6</v>
      </c>
      <c r="D803" t="s">
        <v>7</v>
      </c>
      <c r="E803" t="s">
        <v>31</v>
      </c>
      <c r="F803" t="s">
        <v>32</v>
      </c>
      <c r="G803" s="2">
        <v>3</v>
      </c>
      <c r="H803" s="2">
        <v>434.08</v>
      </c>
      <c r="I803" s="2">
        <v>603.62</v>
      </c>
      <c r="J803" s="2">
        <v>1302.24</v>
      </c>
      <c r="K803" s="2">
        <v>1810.86</v>
      </c>
      <c r="L803" s="2">
        <v>508.62</v>
      </c>
    </row>
    <row r="804" spans="1:12" x14ac:dyDescent="0.3">
      <c r="A804" s="6">
        <f ca="1">Table1[[#This Row],[Date]]*1</f>
        <v>45605</v>
      </c>
      <c r="B804" t="s">
        <v>37</v>
      </c>
      <c r="C804" t="s">
        <v>6</v>
      </c>
      <c r="D804" t="s">
        <v>7</v>
      </c>
      <c r="E804" t="s">
        <v>35</v>
      </c>
      <c r="F804" t="s">
        <v>29</v>
      </c>
      <c r="G804" s="2">
        <v>1</v>
      </c>
      <c r="H804" s="2">
        <v>942.6</v>
      </c>
      <c r="I804" s="2">
        <v>1064.7</v>
      </c>
      <c r="J804" s="2">
        <v>942.6</v>
      </c>
      <c r="K804" s="2">
        <v>1064.7</v>
      </c>
      <c r="L804" s="2">
        <v>122.1</v>
      </c>
    </row>
    <row r="805" spans="1:12" x14ac:dyDescent="0.3">
      <c r="A805" s="6">
        <f ca="1">Table1[[#This Row],[Date]]*1</f>
        <v>45654</v>
      </c>
      <c r="B805" t="s">
        <v>44</v>
      </c>
      <c r="C805" t="s">
        <v>11</v>
      </c>
      <c r="D805" t="s">
        <v>15</v>
      </c>
      <c r="E805" t="s">
        <v>4</v>
      </c>
      <c r="F805" t="s">
        <v>32</v>
      </c>
      <c r="G805" s="2">
        <v>30</v>
      </c>
      <c r="H805" s="2">
        <v>598.42999999999995</v>
      </c>
      <c r="I805" s="2">
        <v>891.51</v>
      </c>
      <c r="J805" s="2">
        <v>17952.900000000001</v>
      </c>
      <c r="K805" s="2">
        <v>26745.3</v>
      </c>
      <c r="L805" s="2">
        <v>8792.4</v>
      </c>
    </row>
    <row r="806" spans="1:12" x14ac:dyDescent="0.3">
      <c r="A806" s="6">
        <f ca="1">Table1[[#This Row],[Date]]*1</f>
        <v>45410</v>
      </c>
      <c r="B806" t="s">
        <v>36</v>
      </c>
      <c r="C806" t="s">
        <v>6</v>
      </c>
      <c r="D806" t="s">
        <v>17</v>
      </c>
      <c r="E806" t="s">
        <v>4</v>
      </c>
      <c r="F806" t="s">
        <v>29</v>
      </c>
      <c r="G806" s="2">
        <v>40</v>
      </c>
      <c r="H806" s="2">
        <v>772.67</v>
      </c>
      <c r="I806" s="2">
        <v>1085.57</v>
      </c>
      <c r="J806" s="2">
        <v>30906.799999999999</v>
      </c>
      <c r="K806" s="2">
        <v>43422.8</v>
      </c>
      <c r="L806" s="2">
        <v>12516</v>
      </c>
    </row>
    <row r="807" spans="1:12" x14ac:dyDescent="0.3">
      <c r="A807" s="6">
        <f ca="1">Table1[[#This Row],[Date]]*1</f>
        <v>45329</v>
      </c>
      <c r="B807" t="s">
        <v>34</v>
      </c>
      <c r="C807" t="s">
        <v>8</v>
      </c>
      <c r="D807" t="s">
        <v>16</v>
      </c>
      <c r="E807" t="s">
        <v>35</v>
      </c>
      <c r="F807" t="s">
        <v>29</v>
      </c>
      <c r="G807" s="2">
        <v>17</v>
      </c>
      <c r="H807" s="2">
        <v>190.13</v>
      </c>
      <c r="I807" s="2">
        <v>249.76</v>
      </c>
      <c r="J807" s="2">
        <v>3232.21</v>
      </c>
      <c r="K807" s="2">
        <v>4245.92</v>
      </c>
      <c r="L807" s="2">
        <v>1013.71</v>
      </c>
    </row>
    <row r="808" spans="1:12" x14ac:dyDescent="0.3">
      <c r="A808" s="6">
        <f ca="1">Table1[[#This Row],[Date]]*1</f>
        <v>45516</v>
      </c>
      <c r="B808" t="s">
        <v>44</v>
      </c>
      <c r="C808" t="s">
        <v>11</v>
      </c>
      <c r="D808" t="s">
        <v>15</v>
      </c>
      <c r="E808" t="s">
        <v>40</v>
      </c>
      <c r="F808" t="s">
        <v>32</v>
      </c>
      <c r="G808" s="2">
        <v>34</v>
      </c>
      <c r="H808" s="2">
        <v>240.57</v>
      </c>
      <c r="I808" s="2">
        <v>325.73</v>
      </c>
      <c r="J808" s="2">
        <v>8179.38</v>
      </c>
      <c r="K808" s="2">
        <v>11074.82</v>
      </c>
      <c r="L808" s="2">
        <v>2895.44</v>
      </c>
    </row>
    <row r="809" spans="1:12" x14ac:dyDescent="0.3">
      <c r="A809" s="6">
        <f ca="1">Table1[[#This Row],[Date]]*1</f>
        <v>45505</v>
      </c>
      <c r="B809" t="s">
        <v>36</v>
      </c>
      <c r="C809" t="s">
        <v>2</v>
      </c>
      <c r="D809" t="s">
        <v>5</v>
      </c>
      <c r="E809" t="s">
        <v>31</v>
      </c>
      <c r="F809" t="s">
        <v>32</v>
      </c>
      <c r="G809" s="2">
        <v>9</v>
      </c>
      <c r="H809" s="2">
        <v>369.67</v>
      </c>
      <c r="I809" s="2">
        <v>468</v>
      </c>
      <c r="J809" s="2">
        <v>3327.03</v>
      </c>
      <c r="K809" s="2">
        <v>4212</v>
      </c>
      <c r="L809" s="2">
        <v>884.97</v>
      </c>
    </row>
    <row r="810" spans="1:12" x14ac:dyDescent="0.3">
      <c r="A810" s="6">
        <f ca="1">Table1[[#This Row],[Date]]*1</f>
        <v>45617</v>
      </c>
      <c r="B810" t="s">
        <v>37</v>
      </c>
      <c r="C810" t="s">
        <v>11</v>
      </c>
      <c r="D810" t="s">
        <v>15</v>
      </c>
      <c r="E810" t="s">
        <v>43</v>
      </c>
      <c r="F810" t="s">
        <v>32</v>
      </c>
      <c r="G810" s="2">
        <v>35</v>
      </c>
      <c r="H810" s="2">
        <v>504.98</v>
      </c>
      <c r="I810" s="2">
        <v>639.17999999999995</v>
      </c>
      <c r="J810" s="2">
        <v>17674.3</v>
      </c>
      <c r="K810" s="2">
        <v>22371.3</v>
      </c>
      <c r="L810" s="2">
        <v>4697</v>
      </c>
    </row>
    <row r="811" spans="1:12" x14ac:dyDescent="0.3">
      <c r="A811" s="6">
        <f ca="1">Table1[[#This Row],[Date]]*1</f>
        <v>45353</v>
      </c>
      <c r="B811" t="s">
        <v>28</v>
      </c>
      <c r="C811" t="s">
        <v>6</v>
      </c>
      <c r="D811" t="s">
        <v>7</v>
      </c>
      <c r="E811" t="s">
        <v>40</v>
      </c>
      <c r="F811" t="s">
        <v>32</v>
      </c>
      <c r="G811" s="2">
        <v>49</v>
      </c>
      <c r="H811" s="2">
        <v>265.01</v>
      </c>
      <c r="I811" s="2">
        <v>370.97</v>
      </c>
      <c r="J811" s="2">
        <v>12985.49</v>
      </c>
      <c r="K811" s="2">
        <v>18177.53</v>
      </c>
      <c r="L811" s="2">
        <v>5192.04</v>
      </c>
    </row>
    <row r="812" spans="1:12" x14ac:dyDescent="0.3">
      <c r="A812" s="6">
        <f ca="1">Table1[[#This Row],[Date]]*1</f>
        <v>45319</v>
      </c>
      <c r="B812" t="s">
        <v>41</v>
      </c>
      <c r="C812" t="s">
        <v>11</v>
      </c>
      <c r="D812" t="s">
        <v>12</v>
      </c>
      <c r="E812" t="s">
        <v>40</v>
      </c>
      <c r="F812" t="s">
        <v>29</v>
      </c>
      <c r="G812" s="2">
        <v>16</v>
      </c>
      <c r="H812" s="2">
        <v>194.22</v>
      </c>
      <c r="I812" s="2">
        <v>279.88</v>
      </c>
      <c r="J812" s="2">
        <v>3107.52</v>
      </c>
      <c r="K812" s="2">
        <v>4478.08</v>
      </c>
      <c r="L812" s="2">
        <v>1370.56</v>
      </c>
    </row>
    <row r="813" spans="1:12" x14ac:dyDescent="0.3">
      <c r="A813" s="6">
        <f ca="1">Table1[[#This Row],[Date]]*1</f>
        <v>45598</v>
      </c>
      <c r="B813" t="s">
        <v>45</v>
      </c>
      <c r="C813" t="s">
        <v>8</v>
      </c>
      <c r="D813" t="s">
        <v>9</v>
      </c>
      <c r="E813" t="s">
        <v>35</v>
      </c>
      <c r="F813" t="s">
        <v>32</v>
      </c>
      <c r="G813" s="2">
        <v>30</v>
      </c>
      <c r="H813" s="2">
        <v>387.82</v>
      </c>
      <c r="I813" s="2">
        <v>426.83</v>
      </c>
      <c r="J813" s="2">
        <v>11634.6</v>
      </c>
      <c r="K813" s="2">
        <v>12804.9</v>
      </c>
      <c r="L813" s="2">
        <v>1170.3</v>
      </c>
    </row>
    <row r="814" spans="1:12" x14ac:dyDescent="0.3">
      <c r="A814" s="6">
        <f ca="1">Table1[[#This Row],[Date]]*1</f>
        <v>45433</v>
      </c>
      <c r="B814" t="s">
        <v>28</v>
      </c>
      <c r="C814" t="s">
        <v>2</v>
      </c>
      <c r="D814" t="s">
        <v>14</v>
      </c>
      <c r="E814" t="s">
        <v>33</v>
      </c>
      <c r="F814" t="s">
        <v>29</v>
      </c>
      <c r="G814" s="2">
        <v>8</v>
      </c>
      <c r="H814" s="2">
        <v>66.19</v>
      </c>
      <c r="I814" s="2">
        <v>93.39</v>
      </c>
      <c r="J814" s="2">
        <v>529.52</v>
      </c>
      <c r="K814" s="2">
        <v>747.12</v>
      </c>
      <c r="L814" s="2">
        <v>217.6</v>
      </c>
    </row>
    <row r="815" spans="1:12" x14ac:dyDescent="0.3">
      <c r="A815" s="6">
        <f ca="1">Table1[[#This Row],[Date]]*1</f>
        <v>45584</v>
      </c>
      <c r="B815" t="s">
        <v>30</v>
      </c>
      <c r="C815" t="s">
        <v>11</v>
      </c>
      <c r="D815" t="s">
        <v>13</v>
      </c>
      <c r="E815" t="s">
        <v>31</v>
      </c>
      <c r="F815" t="s">
        <v>32</v>
      </c>
      <c r="G815" s="2">
        <v>22</v>
      </c>
      <c r="H815" s="2">
        <v>100.13</v>
      </c>
      <c r="I815" s="2">
        <v>129.21</v>
      </c>
      <c r="J815" s="2">
        <v>2202.86</v>
      </c>
      <c r="K815" s="2">
        <v>2842.62</v>
      </c>
      <c r="L815" s="2">
        <v>639.76</v>
      </c>
    </row>
    <row r="816" spans="1:12" x14ac:dyDescent="0.3">
      <c r="A816" s="6">
        <f ca="1">Table1[[#This Row],[Date]]*1</f>
        <v>45633</v>
      </c>
      <c r="B816" t="s">
        <v>34</v>
      </c>
      <c r="C816" t="s">
        <v>2</v>
      </c>
      <c r="D816" t="s">
        <v>3</v>
      </c>
      <c r="E816" t="s">
        <v>40</v>
      </c>
      <c r="F816" t="s">
        <v>32</v>
      </c>
      <c r="G816" s="2">
        <v>2</v>
      </c>
      <c r="H816" s="2">
        <v>943.92</v>
      </c>
      <c r="I816" s="2">
        <v>1133.95</v>
      </c>
      <c r="J816" s="2">
        <v>1887.84</v>
      </c>
      <c r="K816" s="2">
        <v>2267.9</v>
      </c>
      <c r="L816" s="2">
        <v>380.06</v>
      </c>
    </row>
    <row r="817" spans="1:12" x14ac:dyDescent="0.3">
      <c r="A817" s="6">
        <f ca="1">Table1[[#This Row],[Date]]*1</f>
        <v>45394</v>
      </c>
      <c r="B817" t="s">
        <v>44</v>
      </c>
      <c r="C817" t="s">
        <v>2</v>
      </c>
      <c r="D817" t="s">
        <v>3</v>
      </c>
      <c r="E817" t="s">
        <v>35</v>
      </c>
      <c r="F817" t="s">
        <v>29</v>
      </c>
      <c r="G817" s="2">
        <v>13</v>
      </c>
      <c r="H817" s="2">
        <v>455.55</v>
      </c>
      <c r="I817" s="2">
        <v>649.75</v>
      </c>
      <c r="J817" s="2">
        <v>5922.15</v>
      </c>
      <c r="K817" s="2">
        <v>8446.75</v>
      </c>
      <c r="L817" s="2">
        <v>2524.6</v>
      </c>
    </row>
    <row r="818" spans="1:12" x14ac:dyDescent="0.3">
      <c r="A818" s="6">
        <f ca="1">Table1[[#This Row],[Date]]*1</f>
        <v>45583</v>
      </c>
      <c r="B818" t="s">
        <v>34</v>
      </c>
      <c r="C818" t="s">
        <v>8</v>
      </c>
      <c r="D818" t="s">
        <v>9</v>
      </c>
      <c r="E818" t="s">
        <v>4</v>
      </c>
      <c r="F818" t="s">
        <v>29</v>
      </c>
      <c r="G818" s="2">
        <v>47</v>
      </c>
      <c r="H818" s="2">
        <v>760.93</v>
      </c>
      <c r="I818" s="2">
        <v>982.39</v>
      </c>
      <c r="J818" s="2">
        <v>35763.71</v>
      </c>
      <c r="K818" s="2">
        <v>46172.33</v>
      </c>
      <c r="L818" s="2">
        <v>10408.620000000001</v>
      </c>
    </row>
    <row r="819" spans="1:12" x14ac:dyDescent="0.3">
      <c r="A819" s="6">
        <f ca="1">Table1[[#This Row],[Date]]*1</f>
        <v>45553</v>
      </c>
      <c r="B819" t="s">
        <v>39</v>
      </c>
      <c r="C819" t="s">
        <v>6</v>
      </c>
      <c r="D819" t="s">
        <v>10</v>
      </c>
      <c r="E819" t="s">
        <v>43</v>
      </c>
      <c r="F819" t="s">
        <v>29</v>
      </c>
      <c r="G819" s="2">
        <v>31</v>
      </c>
      <c r="H819" s="2">
        <v>868.25</v>
      </c>
      <c r="I819" s="2">
        <v>988.67</v>
      </c>
      <c r="J819" s="2">
        <v>26915.75</v>
      </c>
      <c r="K819" s="2">
        <v>30648.77</v>
      </c>
      <c r="L819" s="2">
        <v>3733.02</v>
      </c>
    </row>
    <row r="820" spans="1:12" x14ac:dyDescent="0.3">
      <c r="A820" s="6">
        <f ca="1">Table1[[#This Row],[Date]]*1</f>
        <v>45526</v>
      </c>
      <c r="B820" t="s">
        <v>41</v>
      </c>
      <c r="C820" t="s">
        <v>8</v>
      </c>
      <c r="D820" t="s">
        <v>9</v>
      </c>
      <c r="E820" t="s">
        <v>31</v>
      </c>
      <c r="F820" t="s">
        <v>29</v>
      </c>
      <c r="G820" s="2">
        <v>25</v>
      </c>
      <c r="H820" s="2">
        <v>900.29</v>
      </c>
      <c r="I820" s="2">
        <v>1196.77</v>
      </c>
      <c r="J820" s="2">
        <v>22507.25</v>
      </c>
      <c r="K820" s="2">
        <v>29919.25</v>
      </c>
      <c r="L820" s="2">
        <v>7412</v>
      </c>
    </row>
    <row r="821" spans="1:12" x14ac:dyDescent="0.3">
      <c r="A821" s="6">
        <f ca="1">Table1[[#This Row],[Date]]*1</f>
        <v>45477</v>
      </c>
      <c r="B821" t="s">
        <v>30</v>
      </c>
      <c r="C821" t="s">
        <v>11</v>
      </c>
      <c r="D821" t="s">
        <v>12</v>
      </c>
      <c r="E821" t="s">
        <v>33</v>
      </c>
      <c r="F821" t="s">
        <v>32</v>
      </c>
      <c r="G821" s="2">
        <v>25</v>
      </c>
      <c r="H821" s="2">
        <v>712.48</v>
      </c>
      <c r="I821" s="2">
        <v>904.67</v>
      </c>
      <c r="J821" s="2">
        <v>17812</v>
      </c>
      <c r="K821" s="2">
        <v>22616.75</v>
      </c>
      <c r="L821" s="2">
        <v>4804.75</v>
      </c>
    </row>
    <row r="822" spans="1:12" x14ac:dyDescent="0.3">
      <c r="A822" s="6">
        <f ca="1">Table1[[#This Row],[Date]]*1</f>
        <v>45429</v>
      </c>
      <c r="B822" t="s">
        <v>44</v>
      </c>
      <c r="C822" t="s">
        <v>2</v>
      </c>
      <c r="D822" t="s">
        <v>3</v>
      </c>
      <c r="E822" t="s">
        <v>31</v>
      </c>
      <c r="F822" t="s">
        <v>29</v>
      </c>
      <c r="G822" s="2">
        <v>47</v>
      </c>
      <c r="H822" s="2">
        <v>283.64</v>
      </c>
      <c r="I822" s="2">
        <v>371.44</v>
      </c>
      <c r="J822" s="2">
        <v>13331.08</v>
      </c>
      <c r="K822" s="2">
        <v>17457.68</v>
      </c>
      <c r="L822" s="2">
        <v>4126.6000000000004</v>
      </c>
    </row>
    <row r="823" spans="1:12" x14ac:dyDescent="0.3">
      <c r="A823" s="6">
        <f ca="1">Table1[[#This Row],[Date]]*1</f>
        <v>45375</v>
      </c>
      <c r="B823" t="s">
        <v>28</v>
      </c>
      <c r="C823" t="s">
        <v>2</v>
      </c>
      <c r="D823" t="s">
        <v>14</v>
      </c>
      <c r="E823" t="s">
        <v>43</v>
      </c>
      <c r="F823" t="s">
        <v>32</v>
      </c>
      <c r="G823" s="2">
        <v>1</v>
      </c>
      <c r="H823" s="2">
        <v>601.05999999999995</v>
      </c>
      <c r="I823" s="2">
        <v>724.68</v>
      </c>
      <c r="J823" s="2">
        <v>601.05999999999995</v>
      </c>
      <c r="K823" s="2">
        <v>724.68</v>
      </c>
      <c r="L823" s="2">
        <v>123.62</v>
      </c>
    </row>
    <row r="824" spans="1:12" x14ac:dyDescent="0.3">
      <c r="A824" s="6">
        <f ca="1">Table1[[#This Row],[Date]]*1</f>
        <v>45325</v>
      </c>
      <c r="B824" t="s">
        <v>28</v>
      </c>
      <c r="C824" t="s">
        <v>8</v>
      </c>
      <c r="D824" t="s">
        <v>42</v>
      </c>
      <c r="E824" t="s">
        <v>43</v>
      </c>
      <c r="F824" t="s">
        <v>32</v>
      </c>
      <c r="G824" s="2">
        <v>25</v>
      </c>
      <c r="H824" s="2">
        <v>693.9</v>
      </c>
      <c r="I824" s="2">
        <v>1028.8900000000001</v>
      </c>
      <c r="J824" s="2">
        <v>17347.5</v>
      </c>
      <c r="K824" s="2">
        <v>25722.25</v>
      </c>
      <c r="L824" s="2">
        <v>8374.75</v>
      </c>
    </row>
    <row r="825" spans="1:12" x14ac:dyDescent="0.3">
      <c r="A825" s="6">
        <f ca="1">Table1[[#This Row],[Date]]*1</f>
        <v>45623</v>
      </c>
      <c r="B825" t="s">
        <v>36</v>
      </c>
      <c r="C825" t="s">
        <v>6</v>
      </c>
      <c r="D825" t="s">
        <v>17</v>
      </c>
      <c r="E825" t="s">
        <v>4</v>
      </c>
      <c r="F825" t="s">
        <v>29</v>
      </c>
      <c r="G825" s="2">
        <v>46</v>
      </c>
      <c r="H825" s="2">
        <v>249.33</v>
      </c>
      <c r="I825" s="2">
        <v>331.27</v>
      </c>
      <c r="J825" s="2">
        <v>11469.18</v>
      </c>
      <c r="K825" s="2">
        <v>15238.42</v>
      </c>
      <c r="L825" s="2">
        <v>3769.24</v>
      </c>
    </row>
    <row r="826" spans="1:12" x14ac:dyDescent="0.3">
      <c r="A826" s="6">
        <f ca="1">Table1[[#This Row],[Date]]*1</f>
        <v>45574</v>
      </c>
      <c r="B826" t="s">
        <v>36</v>
      </c>
      <c r="C826" t="s">
        <v>11</v>
      </c>
      <c r="D826" t="s">
        <v>13</v>
      </c>
      <c r="E826" t="s">
        <v>40</v>
      </c>
      <c r="F826" t="s">
        <v>32</v>
      </c>
      <c r="G826" s="2">
        <v>2</v>
      </c>
      <c r="H826" s="2">
        <v>231.16</v>
      </c>
      <c r="I826" s="2">
        <v>307.95</v>
      </c>
      <c r="J826" s="2">
        <v>462.32</v>
      </c>
      <c r="K826" s="2">
        <v>615.9</v>
      </c>
      <c r="L826" s="2">
        <v>153.58000000000001</v>
      </c>
    </row>
    <row r="827" spans="1:12" x14ac:dyDescent="0.3">
      <c r="A827" s="6">
        <f ca="1">Table1[[#This Row],[Date]]*1</f>
        <v>45326</v>
      </c>
      <c r="B827" t="s">
        <v>37</v>
      </c>
      <c r="C827" t="s">
        <v>2</v>
      </c>
      <c r="D827" t="s">
        <v>5</v>
      </c>
      <c r="E827" t="s">
        <v>43</v>
      </c>
      <c r="F827" t="s">
        <v>32</v>
      </c>
      <c r="G827" s="2">
        <v>9</v>
      </c>
      <c r="H827" s="2">
        <v>983.41</v>
      </c>
      <c r="I827" s="2">
        <v>1380.3</v>
      </c>
      <c r="J827" s="2">
        <v>8850.69</v>
      </c>
      <c r="K827" s="2">
        <v>12422.7</v>
      </c>
      <c r="L827" s="2">
        <v>3572.01</v>
      </c>
    </row>
    <row r="828" spans="1:12" x14ac:dyDescent="0.3">
      <c r="A828" s="6">
        <f ca="1">Table1[[#This Row],[Date]]*1</f>
        <v>45372</v>
      </c>
      <c r="B828" t="s">
        <v>45</v>
      </c>
      <c r="C828" t="s">
        <v>2</v>
      </c>
      <c r="D828" t="s">
        <v>5</v>
      </c>
      <c r="E828" t="s">
        <v>4</v>
      </c>
      <c r="F828" t="s">
        <v>29</v>
      </c>
      <c r="G828" s="2">
        <v>15</v>
      </c>
      <c r="H828" s="2">
        <v>430.95</v>
      </c>
      <c r="I828" s="2">
        <v>597.13</v>
      </c>
      <c r="J828" s="2">
        <v>6464.25</v>
      </c>
      <c r="K828" s="2">
        <v>8956.9500000000007</v>
      </c>
      <c r="L828" s="2">
        <v>2492.6999999999998</v>
      </c>
    </row>
    <row r="829" spans="1:12" x14ac:dyDescent="0.3">
      <c r="A829" s="6">
        <f ca="1">Table1[[#This Row],[Date]]*1</f>
        <v>45482</v>
      </c>
      <c r="B829" t="s">
        <v>34</v>
      </c>
      <c r="C829" t="s">
        <v>11</v>
      </c>
      <c r="D829" t="s">
        <v>15</v>
      </c>
      <c r="E829" t="s">
        <v>35</v>
      </c>
      <c r="F829" t="s">
        <v>29</v>
      </c>
      <c r="G829" s="2">
        <v>34</v>
      </c>
      <c r="H829" s="2">
        <v>466.19</v>
      </c>
      <c r="I829" s="2">
        <v>695.92</v>
      </c>
      <c r="J829" s="2">
        <v>15850.46</v>
      </c>
      <c r="K829" s="2">
        <v>23661.279999999999</v>
      </c>
      <c r="L829" s="2">
        <v>7810.82</v>
      </c>
    </row>
    <row r="830" spans="1:12" x14ac:dyDescent="0.3">
      <c r="A830" s="6">
        <f ca="1">Table1[[#This Row],[Date]]*1</f>
        <v>45346</v>
      </c>
      <c r="B830" t="s">
        <v>41</v>
      </c>
      <c r="C830" t="s">
        <v>11</v>
      </c>
      <c r="D830" t="s">
        <v>13</v>
      </c>
      <c r="E830" t="s">
        <v>4</v>
      </c>
      <c r="F830" t="s">
        <v>29</v>
      </c>
      <c r="G830" s="2">
        <v>22</v>
      </c>
      <c r="H830" s="2">
        <v>742.11</v>
      </c>
      <c r="I830" s="2">
        <v>866.44</v>
      </c>
      <c r="J830" s="2">
        <v>16326.42</v>
      </c>
      <c r="K830" s="2">
        <v>19061.68</v>
      </c>
      <c r="L830" s="2">
        <v>2735.26</v>
      </c>
    </row>
    <row r="831" spans="1:12" x14ac:dyDescent="0.3">
      <c r="A831" s="6">
        <f ca="1">Table1[[#This Row],[Date]]*1</f>
        <v>45311</v>
      </c>
      <c r="B831" t="s">
        <v>45</v>
      </c>
      <c r="C831" t="s">
        <v>6</v>
      </c>
      <c r="D831" t="s">
        <v>7</v>
      </c>
      <c r="E831" t="s">
        <v>33</v>
      </c>
      <c r="F831" t="s">
        <v>32</v>
      </c>
      <c r="G831" s="2">
        <v>45</v>
      </c>
      <c r="H831" s="2">
        <v>468.7</v>
      </c>
      <c r="I831" s="2">
        <v>558.37</v>
      </c>
      <c r="J831" s="2">
        <v>21091.5</v>
      </c>
      <c r="K831" s="2">
        <v>25126.65</v>
      </c>
      <c r="L831" s="2">
        <v>4035.15</v>
      </c>
    </row>
    <row r="832" spans="1:12" x14ac:dyDescent="0.3">
      <c r="A832" s="6">
        <f ca="1">Table1[[#This Row],[Date]]*1</f>
        <v>45560</v>
      </c>
      <c r="B832" t="s">
        <v>37</v>
      </c>
      <c r="C832" t="s">
        <v>11</v>
      </c>
      <c r="D832" t="s">
        <v>13</v>
      </c>
      <c r="E832" t="s">
        <v>43</v>
      </c>
      <c r="F832" t="s">
        <v>29</v>
      </c>
      <c r="G832" s="2">
        <v>22</v>
      </c>
      <c r="H832" s="2">
        <v>141.65</v>
      </c>
      <c r="I832" s="2">
        <v>166.99</v>
      </c>
      <c r="J832" s="2">
        <v>3116.3</v>
      </c>
      <c r="K832" s="2">
        <v>3673.78</v>
      </c>
      <c r="L832" s="2">
        <v>557.48</v>
      </c>
    </row>
    <row r="833" spans="1:12" x14ac:dyDescent="0.3">
      <c r="A833" s="6">
        <f ca="1">Table1[[#This Row],[Date]]*1</f>
        <v>45294</v>
      </c>
      <c r="B833" t="s">
        <v>37</v>
      </c>
      <c r="C833" t="s">
        <v>6</v>
      </c>
      <c r="D833" t="s">
        <v>17</v>
      </c>
      <c r="E833" t="s">
        <v>40</v>
      </c>
      <c r="F833" t="s">
        <v>32</v>
      </c>
      <c r="G833" s="2">
        <v>7</v>
      </c>
      <c r="H833" s="2">
        <v>429.32</v>
      </c>
      <c r="I833" s="2">
        <v>621.04</v>
      </c>
      <c r="J833" s="2">
        <v>3005.24</v>
      </c>
      <c r="K833" s="2">
        <v>4347.28</v>
      </c>
      <c r="L833" s="2">
        <v>1342.04</v>
      </c>
    </row>
    <row r="834" spans="1:12" x14ac:dyDescent="0.3">
      <c r="A834" s="6">
        <f ca="1">Table1[[#This Row],[Date]]*1</f>
        <v>45603</v>
      </c>
      <c r="B834" t="s">
        <v>37</v>
      </c>
      <c r="C834" t="s">
        <v>6</v>
      </c>
      <c r="D834" t="s">
        <v>17</v>
      </c>
      <c r="E834" t="s">
        <v>40</v>
      </c>
      <c r="F834" t="s">
        <v>29</v>
      </c>
      <c r="G834" s="2">
        <v>44</v>
      </c>
      <c r="H834" s="2">
        <v>356.06</v>
      </c>
      <c r="I834" s="2">
        <v>447</v>
      </c>
      <c r="J834" s="2">
        <v>15666.64</v>
      </c>
      <c r="K834" s="2">
        <v>19668</v>
      </c>
      <c r="L834" s="2">
        <v>4001.36</v>
      </c>
    </row>
    <row r="835" spans="1:12" x14ac:dyDescent="0.3">
      <c r="A835" s="6">
        <f ca="1">Table1[[#This Row],[Date]]*1</f>
        <v>45460</v>
      </c>
      <c r="B835" t="s">
        <v>28</v>
      </c>
      <c r="C835" t="s">
        <v>2</v>
      </c>
      <c r="D835" t="s">
        <v>14</v>
      </c>
      <c r="E835" t="s">
        <v>31</v>
      </c>
      <c r="F835" t="s">
        <v>32</v>
      </c>
      <c r="G835" s="2">
        <v>12</v>
      </c>
      <c r="H835" s="2">
        <v>115.18</v>
      </c>
      <c r="I835" s="2">
        <v>137.37</v>
      </c>
      <c r="J835" s="2">
        <v>1382.16</v>
      </c>
      <c r="K835" s="2">
        <v>1648.44</v>
      </c>
      <c r="L835" s="2">
        <v>266.27999999999997</v>
      </c>
    </row>
    <row r="836" spans="1:12" x14ac:dyDescent="0.3">
      <c r="A836" s="6">
        <f ca="1">Table1[[#This Row],[Date]]*1</f>
        <v>45465</v>
      </c>
      <c r="B836" t="s">
        <v>44</v>
      </c>
      <c r="C836" t="s">
        <v>6</v>
      </c>
      <c r="D836" t="s">
        <v>10</v>
      </c>
      <c r="E836" t="s">
        <v>31</v>
      </c>
      <c r="F836" t="s">
        <v>29</v>
      </c>
      <c r="G836" s="2">
        <v>12</v>
      </c>
      <c r="H836" s="2">
        <v>414.15</v>
      </c>
      <c r="I836" s="2">
        <v>602.98</v>
      </c>
      <c r="J836" s="2">
        <v>4969.8</v>
      </c>
      <c r="K836" s="2">
        <v>7235.76</v>
      </c>
      <c r="L836" s="2">
        <v>2265.96</v>
      </c>
    </row>
    <row r="837" spans="1:12" x14ac:dyDescent="0.3">
      <c r="A837" s="6">
        <f ca="1">Table1[[#This Row],[Date]]*1</f>
        <v>45635</v>
      </c>
      <c r="B837" t="s">
        <v>38</v>
      </c>
      <c r="C837" t="s">
        <v>8</v>
      </c>
      <c r="D837" t="s">
        <v>42</v>
      </c>
      <c r="E837" t="s">
        <v>4</v>
      </c>
      <c r="F837" t="s">
        <v>29</v>
      </c>
      <c r="G837" s="2">
        <v>16</v>
      </c>
      <c r="H837" s="2">
        <v>708.72</v>
      </c>
      <c r="I837" s="2">
        <v>911.48</v>
      </c>
      <c r="J837" s="2">
        <v>11339.52</v>
      </c>
      <c r="K837" s="2">
        <v>14583.68</v>
      </c>
      <c r="L837" s="2">
        <v>3244.16</v>
      </c>
    </row>
    <row r="838" spans="1:12" x14ac:dyDescent="0.3">
      <c r="A838" s="6">
        <f ca="1">Table1[[#This Row],[Date]]*1</f>
        <v>45593</v>
      </c>
      <c r="B838" t="s">
        <v>28</v>
      </c>
      <c r="C838" t="s">
        <v>2</v>
      </c>
      <c r="D838" t="s">
        <v>14</v>
      </c>
      <c r="E838" t="s">
        <v>35</v>
      </c>
      <c r="F838" t="s">
        <v>29</v>
      </c>
      <c r="G838" s="2">
        <v>29</v>
      </c>
      <c r="H838" s="2">
        <v>939.15</v>
      </c>
      <c r="I838" s="2">
        <v>1043.9100000000001</v>
      </c>
      <c r="J838" s="2">
        <v>27235.35</v>
      </c>
      <c r="K838" s="2">
        <v>30273.39</v>
      </c>
      <c r="L838" s="2">
        <v>3038.04</v>
      </c>
    </row>
    <row r="839" spans="1:12" x14ac:dyDescent="0.3">
      <c r="A839" s="6">
        <f ca="1">Table1[[#This Row],[Date]]*1</f>
        <v>45373</v>
      </c>
      <c r="B839" t="s">
        <v>30</v>
      </c>
      <c r="C839" t="s">
        <v>8</v>
      </c>
      <c r="D839" t="s">
        <v>9</v>
      </c>
      <c r="E839" t="s">
        <v>4</v>
      </c>
      <c r="F839" t="s">
        <v>29</v>
      </c>
      <c r="G839" s="2">
        <v>7</v>
      </c>
      <c r="H839" s="2">
        <v>168.13</v>
      </c>
      <c r="I839" s="2">
        <v>214.22</v>
      </c>
      <c r="J839" s="2">
        <v>1176.9100000000001</v>
      </c>
      <c r="K839" s="2">
        <v>1499.54</v>
      </c>
      <c r="L839" s="2">
        <v>322.63</v>
      </c>
    </row>
    <row r="840" spans="1:12" x14ac:dyDescent="0.3">
      <c r="A840" s="6">
        <f ca="1">Table1[[#This Row],[Date]]*1</f>
        <v>45396</v>
      </c>
      <c r="B840" t="s">
        <v>36</v>
      </c>
      <c r="C840" t="s">
        <v>11</v>
      </c>
      <c r="D840" t="s">
        <v>12</v>
      </c>
      <c r="E840" t="s">
        <v>31</v>
      </c>
      <c r="F840" t="s">
        <v>29</v>
      </c>
      <c r="G840" s="2">
        <v>27</v>
      </c>
      <c r="H840" s="2">
        <v>758.83</v>
      </c>
      <c r="I840" s="2">
        <v>876.58</v>
      </c>
      <c r="J840" s="2">
        <v>20488.41</v>
      </c>
      <c r="K840" s="2">
        <v>23667.66</v>
      </c>
      <c r="L840" s="2">
        <v>3179.25</v>
      </c>
    </row>
    <row r="841" spans="1:12" x14ac:dyDescent="0.3">
      <c r="A841" s="6">
        <f ca="1">Table1[[#This Row],[Date]]*1</f>
        <v>45542</v>
      </c>
      <c r="B841" t="s">
        <v>45</v>
      </c>
      <c r="C841" t="s">
        <v>2</v>
      </c>
      <c r="D841" t="s">
        <v>14</v>
      </c>
      <c r="E841" t="s">
        <v>35</v>
      </c>
      <c r="F841" t="s">
        <v>32</v>
      </c>
      <c r="G841" s="2">
        <v>33</v>
      </c>
      <c r="H841" s="2">
        <v>463.73</v>
      </c>
      <c r="I841" s="2">
        <v>550.86</v>
      </c>
      <c r="J841" s="2">
        <v>15303.09</v>
      </c>
      <c r="K841" s="2">
        <v>18178.38</v>
      </c>
      <c r="L841" s="2">
        <v>2875.29</v>
      </c>
    </row>
    <row r="842" spans="1:12" x14ac:dyDescent="0.3">
      <c r="A842" s="6">
        <f ca="1">Table1[[#This Row],[Date]]*1</f>
        <v>45624</v>
      </c>
      <c r="B842" t="s">
        <v>37</v>
      </c>
      <c r="C842" t="s">
        <v>2</v>
      </c>
      <c r="D842" t="s">
        <v>14</v>
      </c>
      <c r="E842" t="s">
        <v>40</v>
      </c>
      <c r="F842" t="s">
        <v>32</v>
      </c>
      <c r="G842" s="2">
        <v>37</v>
      </c>
      <c r="H842" s="2">
        <v>495.05</v>
      </c>
      <c r="I842" s="2">
        <v>619.65</v>
      </c>
      <c r="J842" s="2">
        <v>18316.849999999999</v>
      </c>
      <c r="K842" s="2">
        <v>22927.05</v>
      </c>
      <c r="L842" s="2">
        <v>4610.2</v>
      </c>
    </row>
    <row r="843" spans="1:12" x14ac:dyDescent="0.3">
      <c r="A843" s="6">
        <f ca="1">Table1[[#This Row],[Date]]*1</f>
        <v>45592</v>
      </c>
      <c r="B843" t="s">
        <v>36</v>
      </c>
      <c r="C843" t="s">
        <v>2</v>
      </c>
      <c r="D843" t="s">
        <v>14</v>
      </c>
      <c r="E843" t="s">
        <v>4</v>
      </c>
      <c r="F843" t="s">
        <v>29</v>
      </c>
      <c r="G843" s="2">
        <v>13</v>
      </c>
      <c r="H843" s="2">
        <v>117.86</v>
      </c>
      <c r="I843" s="2">
        <v>168.36</v>
      </c>
      <c r="J843" s="2">
        <v>1532.18</v>
      </c>
      <c r="K843" s="2">
        <v>2188.6799999999998</v>
      </c>
      <c r="L843" s="2">
        <v>656.5</v>
      </c>
    </row>
    <row r="844" spans="1:12" x14ac:dyDescent="0.3">
      <c r="A844" s="6">
        <f ca="1">Table1[[#This Row],[Date]]*1</f>
        <v>45568</v>
      </c>
      <c r="B844" t="s">
        <v>34</v>
      </c>
      <c r="C844" t="s">
        <v>6</v>
      </c>
      <c r="D844" t="s">
        <v>17</v>
      </c>
      <c r="E844" t="s">
        <v>31</v>
      </c>
      <c r="F844" t="s">
        <v>32</v>
      </c>
      <c r="G844" s="2">
        <v>48</v>
      </c>
      <c r="H844" s="2">
        <v>964.11</v>
      </c>
      <c r="I844" s="2">
        <v>1141.71</v>
      </c>
      <c r="J844" s="2">
        <v>46277.279999999999</v>
      </c>
      <c r="K844" s="2">
        <v>54802.080000000002</v>
      </c>
      <c r="L844" s="2">
        <v>8524.7999999999993</v>
      </c>
    </row>
    <row r="845" spans="1:12" x14ac:dyDescent="0.3">
      <c r="A845" s="6">
        <f ca="1">Table1[[#This Row],[Date]]*1</f>
        <v>45559</v>
      </c>
      <c r="B845" t="s">
        <v>41</v>
      </c>
      <c r="C845" t="s">
        <v>2</v>
      </c>
      <c r="D845" t="s">
        <v>14</v>
      </c>
      <c r="E845" t="s">
        <v>40</v>
      </c>
      <c r="F845" t="s">
        <v>29</v>
      </c>
      <c r="G845" s="2">
        <v>10</v>
      </c>
      <c r="H845" s="2">
        <v>586.72</v>
      </c>
      <c r="I845" s="2">
        <v>681.2</v>
      </c>
      <c r="J845" s="2">
        <v>5867.2</v>
      </c>
      <c r="K845" s="2">
        <v>6812</v>
      </c>
      <c r="L845" s="2">
        <v>944.8</v>
      </c>
    </row>
    <row r="846" spans="1:12" x14ac:dyDescent="0.3">
      <c r="A846" s="6">
        <f ca="1">Table1[[#This Row],[Date]]*1</f>
        <v>45438</v>
      </c>
      <c r="B846" t="s">
        <v>37</v>
      </c>
      <c r="C846" t="s">
        <v>11</v>
      </c>
      <c r="D846" t="s">
        <v>13</v>
      </c>
      <c r="E846" t="s">
        <v>31</v>
      </c>
      <c r="F846" t="s">
        <v>32</v>
      </c>
      <c r="G846" s="2">
        <v>40</v>
      </c>
      <c r="H846" s="2">
        <v>735.57</v>
      </c>
      <c r="I846" s="2">
        <v>968.27</v>
      </c>
      <c r="J846" s="2">
        <v>29422.799999999999</v>
      </c>
      <c r="K846" s="2">
        <v>38730.800000000003</v>
      </c>
      <c r="L846" s="2">
        <v>9308</v>
      </c>
    </row>
    <row r="847" spans="1:12" x14ac:dyDescent="0.3">
      <c r="A847" s="6">
        <f ca="1">Table1[[#This Row],[Date]]*1</f>
        <v>45478</v>
      </c>
      <c r="B847" t="s">
        <v>39</v>
      </c>
      <c r="C847" t="s">
        <v>2</v>
      </c>
      <c r="D847" t="s">
        <v>5</v>
      </c>
      <c r="E847" t="s">
        <v>35</v>
      </c>
      <c r="F847" t="s">
        <v>32</v>
      </c>
      <c r="G847" s="2">
        <v>2</v>
      </c>
      <c r="H847" s="2">
        <v>335.83</v>
      </c>
      <c r="I847" s="2">
        <v>454.9</v>
      </c>
      <c r="J847" s="2">
        <v>671.66</v>
      </c>
      <c r="K847" s="2">
        <v>909.8</v>
      </c>
      <c r="L847" s="2">
        <v>238.14</v>
      </c>
    </row>
    <row r="848" spans="1:12" x14ac:dyDescent="0.3">
      <c r="A848" s="6">
        <f ca="1">Table1[[#This Row],[Date]]*1</f>
        <v>45646</v>
      </c>
      <c r="B848" t="s">
        <v>36</v>
      </c>
      <c r="C848" t="s">
        <v>6</v>
      </c>
      <c r="D848" t="s">
        <v>10</v>
      </c>
      <c r="E848" t="s">
        <v>35</v>
      </c>
      <c r="F848" t="s">
        <v>29</v>
      </c>
      <c r="G848" s="2">
        <v>49</v>
      </c>
      <c r="H848" s="2">
        <v>453.77</v>
      </c>
      <c r="I848" s="2">
        <v>530.21</v>
      </c>
      <c r="J848" s="2">
        <v>22234.73</v>
      </c>
      <c r="K848" s="2">
        <v>25980.29</v>
      </c>
      <c r="L848" s="2">
        <v>3745.56</v>
      </c>
    </row>
    <row r="849" spans="1:12" x14ac:dyDescent="0.3">
      <c r="A849" s="6">
        <f ca="1">Table1[[#This Row],[Date]]*1</f>
        <v>45514</v>
      </c>
      <c r="B849" t="s">
        <v>34</v>
      </c>
      <c r="C849" t="s">
        <v>8</v>
      </c>
      <c r="D849" t="s">
        <v>42</v>
      </c>
      <c r="E849" t="s">
        <v>35</v>
      </c>
      <c r="F849" t="s">
        <v>29</v>
      </c>
      <c r="G849" s="2">
        <v>4</v>
      </c>
      <c r="H849" s="2">
        <v>129.72</v>
      </c>
      <c r="I849" s="2">
        <v>167.68</v>
      </c>
      <c r="J849" s="2">
        <v>518.88</v>
      </c>
      <c r="K849" s="2">
        <v>670.72</v>
      </c>
      <c r="L849" s="2">
        <v>151.84</v>
      </c>
    </row>
    <row r="850" spans="1:12" x14ac:dyDescent="0.3">
      <c r="A850" s="6">
        <f ca="1">Table1[[#This Row],[Date]]*1</f>
        <v>45414</v>
      </c>
      <c r="B850" t="s">
        <v>38</v>
      </c>
      <c r="C850" t="s">
        <v>6</v>
      </c>
      <c r="D850" t="s">
        <v>17</v>
      </c>
      <c r="E850" t="s">
        <v>33</v>
      </c>
      <c r="F850" t="s">
        <v>32</v>
      </c>
      <c r="G850" s="2">
        <v>35</v>
      </c>
      <c r="H850" s="2">
        <v>590.12</v>
      </c>
      <c r="I850" s="2">
        <v>737.34</v>
      </c>
      <c r="J850" s="2">
        <v>20654.2</v>
      </c>
      <c r="K850" s="2">
        <v>25806.9</v>
      </c>
      <c r="L850" s="2">
        <v>5152.7</v>
      </c>
    </row>
    <row r="851" spans="1:12" x14ac:dyDescent="0.3">
      <c r="A851" s="6">
        <f ca="1">Table1[[#This Row],[Date]]*1</f>
        <v>45613</v>
      </c>
      <c r="B851" t="s">
        <v>44</v>
      </c>
      <c r="C851" t="s">
        <v>8</v>
      </c>
      <c r="D851" t="s">
        <v>16</v>
      </c>
      <c r="E851" t="s">
        <v>31</v>
      </c>
      <c r="F851" t="s">
        <v>32</v>
      </c>
      <c r="G851" s="2">
        <v>14</v>
      </c>
      <c r="H851" s="2">
        <v>961.62</v>
      </c>
      <c r="I851" s="2">
        <v>1131.6600000000001</v>
      </c>
      <c r="J851" s="2">
        <v>13462.68</v>
      </c>
      <c r="K851" s="2">
        <v>15843.24</v>
      </c>
      <c r="L851" s="2">
        <v>2380.56</v>
      </c>
    </row>
    <row r="852" spans="1:12" x14ac:dyDescent="0.3">
      <c r="A852" s="6">
        <f ca="1">Table1[[#This Row],[Date]]*1</f>
        <v>45548</v>
      </c>
      <c r="B852" t="s">
        <v>41</v>
      </c>
      <c r="C852" t="s">
        <v>11</v>
      </c>
      <c r="D852" t="s">
        <v>15</v>
      </c>
      <c r="E852" t="s">
        <v>33</v>
      </c>
      <c r="F852" t="s">
        <v>32</v>
      </c>
      <c r="G852" s="2">
        <v>12</v>
      </c>
      <c r="H852" s="2">
        <v>845.29</v>
      </c>
      <c r="I852" s="2">
        <v>1213.23</v>
      </c>
      <c r="J852" s="2">
        <v>10143.48</v>
      </c>
      <c r="K852" s="2">
        <v>14558.76</v>
      </c>
      <c r="L852" s="2">
        <v>4415.28</v>
      </c>
    </row>
    <row r="853" spans="1:12" x14ac:dyDescent="0.3">
      <c r="A853" s="6">
        <f ca="1">Table1[[#This Row],[Date]]*1</f>
        <v>45381</v>
      </c>
      <c r="B853" t="s">
        <v>38</v>
      </c>
      <c r="C853" t="s">
        <v>6</v>
      </c>
      <c r="D853" t="s">
        <v>7</v>
      </c>
      <c r="E853" t="s">
        <v>43</v>
      </c>
      <c r="F853" t="s">
        <v>32</v>
      </c>
      <c r="G853" s="2">
        <v>32</v>
      </c>
      <c r="H853" s="2">
        <v>928.84</v>
      </c>
      <c r="I853" s="2">
        <v>1045.8399999999999</v>
      </c>
      <c r="J853" s="2">
        <v>29722.880000000001</v>
      </c>
      <c r="K853" s="2">
        <v>33466.879999999997</v>
      </c>
      <c r="L853" s="2">
        <v>3744</v>
      </c>
    </row>
    <row r="854" spans="1:12" x14ac:dyDescent="0.3">
      <c r="A854" s="6">
        <f ca="1">Table1[[#This Row],[Date]]*1</f>
        <v>45482</v>
      </c>
      <c r="B854" t="s">
        <v>28</v>
      </c>
      <c r="C854" t="s">
        <v>2</v>
      </c>
      <c r="D854" t="s">
        <v>14</v>
      </c>
      <c r="E854" t="s">
        <v>35</v>
      </c>
      <c r="F854" t="s">
        <v>29</v>
      </c>
      <c r="G854" s="2">
        <v>19</v>
      </c>
      <c r="H854" s="2">
        <v>481.86</v>
      </c>
      <c r="I854" s="2">
        <v>636.30999999999995</v>
      </c>
      <c r="J854" s="2">
        <v>9155.34</v>
      </c>
      <c r="K854" s="2">
        <v>12089.89</v>
      </c>
      <c r="L854" s="2">
        <v>2934.55</v>
      </c>
    </row>
    <row r="855" spans="1:12" x14ac:dyDescent="0.3">
      <c r="A855" s="6">
        <f ca="1">Table1[[#This Row],[Date]]*1</f>
        <v>45588</v>
      </c>
      <c r="B855" t="s">
        <v>45</v>
      </c>
      <c r="C855" t="s">
        <v>2</v>
      </c>
      <c r="D855" t="s">
        <v>3</v>
      </c>
      <c r="E855" t="s">
        <v>33</v>
      </c>
      <c r="F855" t="s">
        <v>32</v>
      </c>
      <c r="G855" s="2">
        <v>40</v>
      </c>
      <c r="H855" s="2">
        <v>491.99</v>
      </c>
      <c r="I855" s="2">
        <v>651.24</v>
      </c>
      <c r="J855" s="2">
        <v>19679.599999999999</v>
      </c>
      <c r="K855" s="2">
        <v>26049.599999999999</v>
      </c>
      <c r="L855" s="2">
        <v>6370</v>
      </c>
    </row>
    <row r="856" spans="1:12" x14ac:dyDescent="0.3">
      <c r="A856" s="6">
        <f ca="1">Table1[[#This Row],[Date]]*1</f>
        <v>45401</v>
      </c>
      <c r="B856" t="s">
        <v>28</v>
      </c>
      <c r="C856" t="s">
        <v>6</v>
      </c>
      <c r="D856" t="s">
        <v>17</v>
      </c>
      <c r="E856" t="s">
        <v>4</v>
      </c>
      <c r="F856" t="s">
        <v>29</v>
      </c>
      <c r="G856" s="2">
        <v>6</v>
      </c>
      <c r="H856" s="2">
        <v>790.71</v>
      </c>
      <c r="I856" s="2">
        <v>1169.54</v>
      </c>
      <c r="J856" s="2">
        <v>4744.26</v>
      </c>
      <c r="K856" s="2">
        <v>7017.24</v>
      </c>
      <c r="L856" s="2">
        <v>2272.98</v>
      </c>
    </row>
    <row r="857" spans="1:12" x14ac:dyDescent="0.3">
      <c r="A857" s="6">
        <f ca="1">Table1[[#This Row],[Date]]*1</f>
        <v>45319</v>
      </c>
      <c r="B857" t="s">
        <v>38</v>
      </c>
      <c r="C857" t="s">
        <v>11</v>
      </c>
      <c r="D857" t="s">
        <v>12</v>
      </c>
      <c r="E857" t="s">
        <v>4</v>
      </c>
      <c r="F857" t="s">
        <v>32</v>
      </c>
      <c r="G857" s="2">
        <v>1</v>
      </c>
      <c r="H857" s="2">
        <v>181.45</v>
      </c>
      <c r="I857" s="2">
        <v>254.65</v>
      </c>
      <c r="J857" s="2">
        <v>181.45</v>
      </c>
      <c r="K857" s="2">
        <v>254.65</v>
      </c>
      <c r="L857" s="2">
        <v>73.2</v>
      </c>
    </row>
    <row r="858" spans="1:12" x14ac:dyDescent="0.3">
      <c r="A858" s="6">
        <f ca="1">Table1[[#This Row],[Date]]*1</f>
        <v>45400</v>
      </c>
      <c r="B858" t="s">
        <v>44</v>
      </c>
      <c r="C858" t="s">
        <v>2</v>
      </c>
      <c r="D858" t="s">
        <v>3</v>
      </c>
      <c r="E858" t="s">
        <v>4</v>
      </c>
      <c r="F858" t="s">
        <v>32</v>
      </c>
      <c r="G858" s="2">
        <v>8</v>
      </c>
      <c r="H858" s="2">
        <v>311.92</v>
      </c>
      <c r="I858" s="2">
        <v>353.34</v>
      </c>
      <c r="J858" s="2">
        <v>2495.36</v>
      </c>
      <c r="K858" s="2">
        <v>2826.72</v>
      </c>
      <c r="L858" s="2">
        <v>331.36</v>
      </c>
    </row>
    <row r="859" spans="1:12" x14ac:dyDescent="0.3">
      <c r="A859" s="6">
        <f ca="1">Table1[[#This Row],[Date]]*1</f>
        <v>45419</v>
      </c>
      <c r="B859" t="s">
        <v>28</v>
      </c>
      <c r="C859" t="s">
        <v>11</v>
      </c>
      <c r="D859" t="s">
        <v>12</v>
      </c>
      <c r="E859" t="s">
        <v>43</v>
      </c>
      <c r="F859" t="s">
        <v>29</v>
      </c>
      <c r="G859" s="2">
        <v>26</v>
      </c>
      <c r="H859" s="2">
        <v>656.77</v>
      </c>
      <c r="I859" s="2">
        <v>925.13</v>
      </c>
      <c r="J859" s="2">
        <v>17076.02</v>
      </c>
      <c r="K859" s="2">
        <v>24053.38</v>
      </c>
      <c r="L859" s="2">
        <v>6977.36</v>
      </c>
    </row>
    <row r="860" spans="1:12" x14ac:dyDescent="0.3">
      <c r="A860" s="6">
        <f ca="1">Table1[[#This Row],[Date]]*1</f>
        <v>45330</v>
      </c>
      <c r="B860" t="s">
        <v>36</v>
      </c>
      <c r="C860" t="s">
        <v>2</v>
      </c>
      <c r="D860" t="s">
        <v>5</v>
      </c>
      <c r="E860" t="s">
        <v>43</v>
      </c>
      <c r="F860" t="s">
        <v>32</v>
      </c>
      <c r="G860" s="2">
        <v>9</v>
      </c>
      <c r="H860" s="2">
        <v>684.73</v>
      </c>
      <c r="I860" s="2">
        <v>919.27</v>
      </c>
      <c r="J860" s="2">
        <v>6162.57</v>
      </c>
      <c r="K860" s="2">
        <v>8273.43</v>
      </c>
      <c r="L860" s="2">
        <v>2110.86</v>
      </c>
    </row>
    <row r="861" spans="1:12" x14ac:dyDescent="0.3">
      <c r="A861" s="6">
        <f ca="1">Table1[[#This Row],[Date]]*1</f>
        <v>45409</v>
      </c>
      <c r="B861" t="s">
        <v>34</v>
      </c>
      <c r="C861" t="s">
        <v>2</v>
      </c>
      <c r="D861" t="s">
        <v>3</v>
      </c>
      <c r="E861" t="s">
        <v>33</v>
      </c>
      <c r="F861" t="s">
        <v>29</v>
      </c>
      <c r="G861" s="2">
        <v>35</v>
      </c>
      <c r="H861" s="2">
        <v>953.03</v>
      </c>
      <c r="I861" s="2">
        <v>1118.71</v>
      </c>
      <c r="J861" s="2">
        <v>33356.050000000003</v>
      </c>
      <c r="K861" s="2">
        <v>39154.85</v>
      </c>
      <c r="L861" s="2">
        <v>5798.8</v>
      </c>
    </row>
    <row r="862" spans="1:12" x14ac:dyDescent="0.3">
      <c r="A862" s="6">
        <f ca="1">Table1[[#This Row],[Date]]*1</f>
        <v>45478</v>
      </c>
      <c r="B862" t="s">
        <v>36</v>
      </c>
      <c r="C862" t="s">
        <v>8</v>
      </c>
      <c r="D862" t="s">
        <v>16</v>
      </c>
      <c r="E862" t="s">
        <v>40</v>
      </c>
      <c r="F862" t="s">
        <v>32</v>
      </c>
      <c r="G862" s="2">
        <v>9</v>
      </c>
      <c r="H862" s="2">
        <v>410.45</v>
      </c>
      <c r="I862" s="2">
        <v>589.57000000000005</v>
      </c>
      <c r="J862" s="2">
        <v>3694.05</v>
      </c>
      <c r="K862" s="2">
        <v>5306.13</v>
      </c>
      <c r="L862" s="2">
        <v>1612.08</v>
      </c>
    </row>
    <row r="863" spans="1:12" x14ac:dyDescent="0.3">
      <c r="A863" s="6">
        <f ca="1">Table1[[#This Row],[Date]]*1</f>
        <v>45294</v>
      </c>
      <c r="B863" t="s">
        <v>30</v>
      </c>
      <c r="C863" t="s">
        <v>2</v>
      </c>
      <c r="D863" t="s">
        <v>5</v>
      </c>
      <c r="E863" t="s">
        <v>35</v>
      </c>
      <c r="F863" t="s">
        <v>29</v>
      </c>
      <c r="G863" s="2">
        <v>25</v>
      </c>
      <c r="H863" s="2">
        <v>548.58000000000004</v>
      </c>
      <c r="I863" s="2">
        <v>607.66999999999996</v>
      </c>
      <c r="J863" s="2">
        <v>13714.5</v>
      </c>
      <c r="K863" s="2">
        <v>15191.75</v>
      </c>
      <c r="L863" s="2">
        <v>1477.25</v>
      </c>
    </row>
    <row r="864" spans="1:12" x14ac:dyDescent="0.3">
      <c r="A864" s="6">
        <f ca="1">Table1[[#This Row],[Date]]*1</f>
        <v>45460</v>
      </c>
      <c r="B864" t="s">
        <v>44</v>
      </c>
      <c r="C864" t="s">
        <v>8</v>
      </c>
      <c r="D864" t="s">
        <v>16</v>
      </c>
      <c r="E864" t="s">
        <v>31</v>
      </c>
      <c r="F864" t="s">
        <v>29</v>
      </c>
      <c r="G864" s="2">
        <v>21</v>
      </c>
      <c r="H864" s="2">
        <v>399.15</v>
      </c>
      <c r="I864" s="2">
        <v>594.66</v>
      </c>
      <c r="J864" s="2">
        <v>8382.15</v>
      </c>
      <c r="K864" s="2">
        <v>12487.86</v>
      </c>
      <c r="L864" s="2">
        <v>4105.71</v>
      </c>
    </row>
    <row r="865" spans="1:12" x14ac:dyDescent="0.3">
      <c r="A865" s="6">
        <f ca="1">Table1[[#This Row],[Date]]*1</f>
        <v>45350</v>
      </c>
      <c r="B865" t="s">
        <v>45</v>
      </c>
      <c r="C865" t="s">
        <v>11</v>
      </c>
      <c r="D865" t="s">
        <v>15</v>
      </c>
      <c r="E865" t="s">
        <v>33</v>
      </c>
      <c r="F865" t="s">
        <v>29</v>
      </c>
      <c r="G865" s="2">
        <v>4</v>
      </c>
      <c r="H865" s="2">
        <v>522.09</v>
      </c>
      <c r="I865" s="2">
        <v>756.12</v>
      </c>
      <c r="J865" s="2">
        <v>2088.36</v>
      </c>
      <c r="K865" s="2">
        <v>3024.48</v>
      </c>
      <c r="L865" s="2">
        <v>936.12</v>
      </c>
    </row>
    <row r="866" spans="1:12" x14ac:dyDescent="0.3">
      <c r="A866" s="6">
        <f ca="1">Table1[[#This Row],[Date]]*1</f>
        <v>45549</v>
      </c>
      <c r="B866" t="s">
        <v>34</v>
      </c>
      <c r="C866" t="s">
        <v>6</v>
      </c>
      <c r="D866" t="s">
        <v>17</v>
      </c>
      <c r="E866" t="s">
        <v>43</v>
      </c>
      <c r="F866" t="s">
        <v>32</v>
      </c>
      <c r="G866" s="2">
        <v>33</v>
      </c>
      <c r="H866" s="2">
        <v>132.09</v>
      </c>
      <c r="I866" s="2">
        <v>173.88</v>
      </c>
      <c r="J866" s="2">
        <v>4358.97</v>
      </c>
      <c r="K866" s="2">
        <v>5738.04</v>
      </c>
      <c r="L866" s="2">
        <v>1379.07</v>
      </c>
    </row>
    <row r="867" spans="1:12" x14ac:dyDescent="0.3">
      <c r="A867" s="6">
        <f ca="1">Table1[[#This Row],[Date]]*1</f>
        <v>45443</v>
      </c>
      <c r="B867" t="s">
        <v>28</v>
      </c>
      <c r="C867" t="s">
        <v>11</v>
      </c>
      <c r="D867" t="s">
        <v>15</v>
      </c>
      <c r="E867" t="s">
        <v>35</v>
      </c>
      <c r="F867" t="s">
        <v>29</v>
      </c>
      <c r="G867" s="2">
        <v>30</v>
      </c>
      <c r="H867" s="2">
        <v>931.34</v>
      </c>
      <c r="I867" s="2">
        <v>1094.0899999999999</v>
      </c>
      <c r="J867" s="2">
        <v>27940.2</v>
      </c>
      <c r="K867" s="2">
        <v>32822.699999999997</v>
      </c>
      <c r="L867" s="2">
        <v>4882.5</v>
      </c>
    </row>
    <row r="868" spans="1:12" x14ac:dyDescent="0.3">
      <c r="A868" s="6">
        <f ca="1">Table1[[#This Row],[Date]]*1</f>
        <v>45314</v>
      </c>
      <c r="B868" t="s">
        <v>44</v>
      </c>
      <c r="C868" t="s">
        <v>6</v>
      </c>
      <c r="D868" t="s">
        <v>10</v>
      </c>
      <c r="E868" t="s">
        <v>35</v>
      </c>
      <c r="F868" t="s">
        <v>29</v>
      </c>
      <c r="G868" s="2">
        <v>18</v>
      </c>
      <c r="H868" s="2">
        <v>883.99</v>
      </c>
      <c r="I868" s="2">
        <v>997.52</v>
      </c>
      <c r="J868" s="2">
        <v>15911.82</v>
      </c>
      <c r="K868" s="2">
        <v>17955.36</v>
      </c>
      <c r="L868" s="2">
        <v>2043.54</v>
      </c>
    </row>
    <row r="869" spans="1:12" x14ac:dyDescent="0.3">
      <c r="A869" s="6">
        <f ca="1">Table1[[#This Row],[Date]]*1</f>
        <v>45494</v>
      </c>
      <c r="B869" t="s">
        <v>41</v>
      </c>
      <c r="C869" t="s">
        <v>11</v>
      </c>
      <c r="D869" t="s">
        <v>15</v>
      </c>
      <c r="E869" t="s">
        <v>4</v>
      </c>
      <c r="F869" t="s">
        <v>32</v>
      </c>
      <c r="G869" s="2">
        <v>43</v>
      </c>
      <c r="H869" s="2">
        <v>103.7</v>
      </c>
      <c r="I869" s="2">
        <v>128.63</v>
      </c>
      <c r="J869" s="2">
        <v>4459.1000000000004</v>
      </c>
      <c r="K869" s="2">
        <v>5531.09</v>
      </c>
      <c r="L869" s="2">
        <v>1071.99</v>
      </c>
    </row>
    <row r="870" spans="1:12" x14ac:dyDescent="0.3">
      <c r="A870" s="6">
        <f ca="1">Table1[[#This Row],[Date]]*1</f>
        <v>45487</v>
      </c>
      <c r="B870" t="s">
        <v>36</v>
      </c>
      <c r="C870" t="s">
        <v>2</v>
      </c>
      <c r="D870" t="s">
        <v>3</v>
      </c>
      <c r="E870" t="s">
        <v>35</v>
      </c>
      <c r="F870" t="s">
        <v>29</v>
      </c>
      <c r="G870" s="2">
        <v>46</v>
      </c>
      <c r="H870" s="2">
        <v>774.65</v>
      </c>
      <c r="I870" s="2">
        <v>1151.73</v>
      </c>
      <c r="J870" s="2">
        <v>35633.9</v>
      </c>
      <c r="K870" s="2">
        <v>52979.58</v>
      </c>
      <c r="L870" s="2">
        <v>17345.68</v>
      </c>
    </row>
    <row r="871" spans="1:12" x14ac:dyDescent="0.3">
      <c r="A871" s="6">
        <f ca="1">Table1[[#This Row],[Date]]*1</f>
        <v>45429</v>
      </c>
      <c r="B871" t="s">
        <v>34</v>
      </c>
      <c r="C871" t="s">
        <v>6</v>
      </c>
      <c r="D871" t="s">
        <v>10</v>
      </c>
      <c r="E871" t="s">
        <v>31</v>
      </c>
      <c r="F871" t="s">
        <v>29</v>
      </c>
      <c r="G871" s="2">
        <v>24</v>
      </c>
      <c r="H871" s="2">
        <v>346.07</v>
      </c>
      <c r="I871" s="2">
        <v>432.71</v>
      </c>
      <c r="J871" s="2">
        <v>8305.68</v>
      </c>
      <c r="K871" s="2">
        <v>10385.040000000001</v>
      </c>
      <c r="L871" s="2">
        <v>2079.36</v>
      </c>
    </row>
    <row r="872" spans="1:12" x14ac:dyDescent="0.3">
      <c r="A872" s="6">
        <f ca="1">Table1[[#This Row],[Date]]*1</f>
        <v>45339</v>
      </c>
      <c r="B872" t="s">
        <v>44</v>
      </c>
      <c r="C872" t="s">
        <v>8</v>
      </c>
      <c r="D872" t="s">
        <v>16</v>
      </c>
      <c r="E872" t="s">
        <v>35</v>
      </c>
      <c r="F872" t="s">
        <v>29</v>
      </c>
      <c r="G872" s="2">
        <v>2</v>
      </c>
      <c r="H872" s="2">
        <v>815.16</v>
      </c>
      <c r="I872" s="2">
        <v>931.27</v>
      </c>
      <c r="J872" s="2">
        <v>1630.32</v>
      </c>
      <c r="K872" s="2">
        <v>1862.54</v>
      </c>
      <c r="L872" s="2">
        <v>232.22</v>
      </c>
    </row>
    <row r="873" spans="1:12" x14ac:dyDescent="0.3">
      <c r="A873" s="6">
        <f ca="1">Table1[[#This Row],[Date]]*1</f>
        <v>45401</v>
      </c>
      <c r="B873" t="s">
        <v>38</v>
      </c>
      <c r="C873" t="s">
        <v>6</v>
      </c>
      <c r="D873" t="s">
        <v>10</v>
      </c>
      <c r="E873" t="s">
        <v>40</v>
      </c>
      <c r="F873" t="s">
        <v>32</v>
      </c>
      <c r="G873" s="2">
        <v>31</v>
      </c>
      <c r="H873" s="2">
        <v>448.22</v>
      </c>
      <c r="I873" s="2">
        <v>508.75</v>
      </c>
      <c r="J873" s="2">
        <v>13894.82</v>
      </c>
      <c r="K873" s="2">
        <v>15771.25</v>
      </c>
      <c r="L873" s="2">
        <v>1876.43</v>
      </c>
    </row>
    <row r="874" spans="1:12" x14ac:dyDescent="0.3">
      <c r="A874" s="6">
        <f ca="1">Table1[[#This Row],[Date]]*1</f>
        <v>45329</v>
      </c>
      <c r="B874" t="s">
        <v>36</v>
      </c>
      <c r="C874" t="s">
        <v>2</v>
      </c>
      <c r="D874" t="s">
        <v>14</v>
      </c>
      <c r="E874" t="s">
        <v>4</v>
      </c>
      <c r="F874" t="s">
        <v>29</v>
      </c>
      <c r="G874" s="2">
        <v>19</v>
      </c>
      <c r="H874" s="2">
        <v>318.07</v>
      </c>
      <c r="I874" s="2">
        <v>427.19</v>
      </c>
      <c r="J874" s="2">
        <v>6043.33</v>
      </c>
      <c r="K874" s="2">
        <v>8116.61</v>
      </c>
      <c r="L874" s="2">
        <v>2073.2800000000002</v>
      </c>
    </row>
    <row r="875" spans="1:12" x14ac:dyDescent="0.3">
      <c r="A875" s="6">
        <f ca="1">Table1[[#This Row],[Date]]*1</f>
        <v>45461</v>
      </c>
      <c r="B875" t="s">
        <v>38</v>
      </c>
      <c r="C875" t="s">
        <v>2</v>
      </c>
      <c r="D875" t="s">
        <v>14</v>
      </c>
      <c r="E875" t="s">
        <v>40</v>
      </c>
      <c r="F875" t="s">
        <v>32</v>
      </c>
      <c r="G875" s="2">
        <v>14</v>
      </c>
      <c r="H875" s="2">
        <v>382.61</v>
      </c>
      <c r="I875" s="2">
        <v>482.78</v>
      </c>
      <c r="J875" s="2">
        <v>5356.54</v>
      </c>
      <c r="K875" s="2">
        <v>6758.92</v>
      </c>
      <c r="L875" s="2">
        <v>1402.38</v>
      </c>
    </row>
    <row r="876" spans="1:12" x14ac:dyDescent="0.3">
      <c r="A876" s="6">
        <f ca="1">Table1[[#This Row],[Date]]*1</f>
        <v>45410</v>
      </c>
      <c r="B876" t="s">
        <v>37</v>
      </c>
      <c r="C876" t="s">
        <v>2</v>
      </c>
      <c r="D876" t="s">
        <v>14</v>
      </c>
      <c r="E876" t="s">
        <v>43</v>
      </c>
      <c r="F876" t="s">
        <v>29</v>
      </c>
      <c r="G876" s="2">
        <v>26</v>
      </c>
      <c r="H876" s="2">
        <v>381.91</v>
      </c>
      <c r="I876" s="2">
        <v>502.53</v>
      </c>
      <c r="J876" s="2">
        <v>9929.66</v>
      </c>
      <c r="K876" s="2">
        <v>13065.78</v>
      </c>
      <c r="L876" s="2">
        <v>3136.12</v>
      </c>
    </row>
    <row r="877" spans="1:12" x14ac:dyDescent="0.3">
      <c r="A877" s="6">
        <f ca="1">Table1[[#This Row],[Date]]*1</f>
        <v>45334</v>
      </c>
      <c r="B877" t="s">
        <v>28</v>
      </c>
      <c r="C877" t="s">
        <v>2</v>
      </c>
      <c r="D877" t="s">
        <v>14</v>
      </c>
      <c r="E877" t="s">
        <v>40</v>
      </c>
      <c r="F877" t="s">
        <v>32</v>
      </c>
      <c r="G877" s="2">
        <v>12</v>
      </c>
      <c r="H877" s="2">
        <v>965.27</v>
      </c>
      <c r="I877" s="2">
        <v>1250.77</v>
      </c>
      <c r="J877" s="2">
        <v>11583.24</v>
      </c>
      <c r="K877" s="2">
        <v>15009.24</v>
      </c>
      <c r="L877" s="2">
        <v>3426</v>
      </c>
    </row>
    <row r="878" spans="1:12" x14ac:dyDescent="0.3">
      <c r="A878" s="6">
        <f ca="1">Table1[[#This Row],[Date]]*1</f>
        <v>45564</v>
      </c>
      <c r="B878" t="s">
        <v>41</v>
      </c>
      <c r="C878" t="s">
        <v>11</v>
      </c>
      <c r="D878" t="s">
        <v>15</v>
      </c>
      <c r="E878" t="s">
        <v>4</v>
      </c>
      <c r="F878" t="s">
        <v>29</v>
      </c>
      <c r="G878" s="2">
        <v>22</v>
      </c>
      <c r="H878" s="2">
        <v>744.84</v>
      </c>
      <c r="I878" s="2">
        <v>1055.58</v>
      </c>
      <c r="J878" s="2">
        <v>16386.48</v>
      </c>
      <c r="K878" s="2">
        <v>23222.76</v>
      </c>
      <c r="L878" s="2">
        <v>6836.28</v>
      </c>
    </row>
    <row r="879" spans="1:12" x14ac:dyDescent="0.3">
      <c r="A879" s="6">
        <f ca="1">Table1[[#This Row],[Date]]*1</f>
        <v>45538</v>
      </c>
      <c r="B879" t="s">
        <v>41</v>
      </c>
      <c r="C879" t="s">
        <v>11</v>
      </c>
      <c r="D879" t="s">
        <v>12</v>
      </c>
      <c r="E879" t="s">
        <v>40</v>
      </c>
      <c r="F879" t="s">
        <v>32</v>
      </c>
      <c r="G879" s="2">
        <v>15</v>
      </c>
      <c r="H879" s="2">
        <v>217.04</v>
      </c>
      <c r="I879" s="2">
        <v>243.16</v>
      </c>
      <c r="J879" s="2">
        <v>3255.6</v>
      </c>
      <c r="K879" s="2">
        <v>3647.4</v>
      </c>
      <c r="L879" s="2">
        <v>391.8</v>
      </c>
    </row>
    <row r="880" spans="1:12" x14ac:dyDescent="0.3">
      <c r="A880" s="6">
        <f ca="1">Table1[[#This Row],[Date]]*1</f>
        <v>45458</v>
      </c>
      <c r="B880" t="s">
        <v>38</v>
      </c>
      <c r="C880" t="s">
        <v>8</v>
      </c>
      <c r="D880" t="s">
        <v>9</v>
      </c>
      <c r="E880" t="s">
        <v>33</v>
      </c>
      <c r="F880" t="s">
        <v>29</v>
      </c>
      <c r="G880" s="2">
        <v>49</v>
      </c>
      <c r="H880" s="2">
        <v>188.67</v>
      </c>
      <c r="I880" s="2">
        <v>229.3</v>
      </c>
      <c r="J880" s="2">
        <v>9244.83</v>
      </c>
      <c r="K880" s="2">
        <v>11235.7</v>
      </c>
      <c r="L880" s="2">
        <v>1990.87</v>
      </c>
    </row>
    <row r="881" spans="1:12" x14ac:dyDescent="0.3">
      <c r="A881" s="6">
        <f ca="1">Table1[[#This Row],[Date]]*1</f>
        <v>45451</v>
      </c>
      <c r="B881" t="s">
        <v>28</v>
      </c>
      <c r="C881" t="s">
        <v>6</v>
      </c>
      <c r="D881" t="s">
        <v>17</v>
      </c>
      <c r="E881" t="s">
        <v>33</v>
      </c>
      <c r="F881" t="s">
        <v>32</v>
      </c>
      <c r="G881" s="2">
        <v>42</v>
      </c>
      <c r="H881" s="2">
        <v>980.85</v>
      </c>
      <c r="I881" s="2">
        <v>1380.25</v>
      </c>
      <c r="J881" s="2">
        <v>41195.699999999997</v>
      </c>
      <c r="K881" s="2">
        <v>57970.5</v>
      </c>
      <c r="L881" s="2">
        <v>16774.8</v>
      </c>
    </row>
    <row r="882" spans="1:12" x14ac:dyDescent="0.3">
      <c r="A882" s="6">
        <f ca="1">Table1[[#This Row],[Date]]*1</f>
        <v>45589</v>
      </c>
      <c r="B882" t="s">
        <v>41</v>
      </c>
      <c r="C882" t="s">
        <v>2</v>
      </c>
      <c r="D882" t="s">
        <v>3</v>
      </c>
      <c r="E882" t="s">
        <v>31</v>
      </c>
      <c r="F882" t="s">
        <v>32</v>
      </c>
      <c r="G882" s="2">
        <v>14</v>
      </c>
      <c r="H882" s="2">
        <v>744.32</v>
      </c>
      <c r="I882" s="2">
        <v>1010.94</v>
      </c>
      <c r="J882" s="2">
        <v>10420.48</v>
      </c>
      <c r="K882" s="2">
        <v>14153.16</v>
      </c>
      <c r="L882" s="2">
        <v>3732.68</v>
      </c>
    </row>
    <row r="883" spans="1:12" x14ac:dyDescent="0.3">
      <c r="A883" s="6">
        <f ca="1">Table1[[#This Row],[Date]]*1</f>
        <v>45386</v>
      </c>
      <c r="B883" t="s">
        <v>38</v>
      </c>
      <c r="C883" t="s">
        <v>6</v>
      </c>
      <c r="D883" t="s">
        <v>7</v>
      </c>
      <c r="E883" t="s">
        <v>40</v>
      </c>
      <c r="F883" t="s">
        <v>29</v>
      </c>
      <c r="G883" s="2">
        <v>45</v>
      </c>
      <c r="H883" s="2">
        <v>310.76</v>
      </c>
      <c r="I883" s="2">
        <v>453.52</v>
      </c>
      <c r="J883" s="2">
        <v>13984.2</v>
      </c>
      <c r="K883" s="2">
        <v>20408.400000000001</v>
      </c>
      <c r="L883" s="2">
        <v>6424.2</v>
      </c>
    </row>
    <row r="884" spans="1:12" x14ac:dyDescent="0.3">
      <c r="A884" s="6">
        <f ca="1">Table1[[#This Row],[Date]]*1</f>
        <v>45568</v>
      </c>
      <c r="B884" t="s">
        <v>39</v>
      </c>
      <c r="C884" t="s">
        <v>6</v>
      </c>
      <c r="D884" t="s">
        <v>10</v>
      </c>
      <c r="E884" t="s">
        <v>31</v>
      </c>
      <c r="F884" t="s">
        <v>32</v>
      </c>
      <c r="G884" s="2">
        <v>28</v>
      </c>
      <c r="H884" s="2">
        <v>375.72</v>
      </c>
      <c r="I884" s="2">
        <v>415.07</v>
      </c>
      <c r="J884" s="2">
        <v>10520.16</v>
      </c>
      <c r="K884" s="2">
        <v>11621.96</v>
      </c>
      <c r="L884" s="2">
        <v>1101.8</v>
      </c>
    </row>
    <row r="885" spans="1:12" x14ac:dyDescent="0.3">
      <c r="A885" s="6">
        <f ca="1">Table1[[#This Row],[Date]]*1</f>
        <v>45570</v>
      </c>
      <c r="B885" t="s">
        <v>39</v>
      </c>
      <c r="C885" t="s">
        <v>2</v>
      </c>
      <c r="D885" t="s">
        <v>5</v>
      </c>
      <c r="E885" t="s">
        <v>43</v>
      </c>
      <c r="F885" t="s">
        <v>32</v>
      </c>
      <c r="G885" s="2">
        <v>45</v>
      </c>
      <c r="H885" s="2">
        <v>107.88</v>
      </c>
      <c r="I885" s="2">
        <v>134.94</v>
      </c>
      <c r="J885" s="2">
        <v>4854.6000000000004</v>
      </c>
      <c r="K885" s="2">
        <v>6072.3</v>
      </c>
      <c r="L885" s="2">
        <v>1217.7</v>
      </c>
    </row>
    <row r="886" spans="1:12" x14ac:dyDescent="0.3">
      <c r="A886" s="6">
        <f ca="1">Table1[[#This Row],[Date]]*1</f>
        <v>45446</v>
      </c>
      <c r="B886" t="s">
        <v>28</v>
      </c>
      <c r="C886" t="s">
        <v>2</v>
      </c>
      <c r="D886" t="s">
        <v>5</v>
      </c>
      <c r="E886" t="s">
        <v>31</v>
      </c>
      <c r="F886" t="s">
        <v>29</v>
      </c>
      <c r="G886" s="2">
        <v>6</v>
      </c>
      <c r="H886" s="2">
        <v>688.22</v>
      </c>
      <c r="I886" s="2">
        <v>1027.92</v>
      </c>
      <c r="J886" s="2">
        <v>4129.32</v>
      </c>
      <c r="K886" s="2">
        <v>6167.52</v>
      </c>
      <c r="L886" s="2">
        <v>2038.2</v>
      </c>
    </row>
    <row r="887" spans="1:12" x14ac:dyDescent="0.3">
      <c r="A887" s="6">
        <f ca="1">Table1[[#This Row],[Date]]*1</f>
        <v>45558</v>
      </c>
      <c r="B887" t="s">
        <v>38</v>
      </c>
      <c r="C887" t="s">
        <v>8</v>
      </c>
      <c r="D887" t="s">
        <v>42</v>
      </c>
      <c r="E887" t="s">
        <v>40</v>
      </c>
      <c r="F887" t="s">
        <v>29</v>
      </c>
      <c r="G887" s="2">
        <v>7</v>
      </c>
      <c r="H887" s="2">
        <v>876.15</v>
      </c>
      <c r="I887" s="2">
        <v>1184.04</v>
      </c>
      <c r="J887" s="2">
        <v>6133.05</v>
      </c>
      <c r="K887" s="2">
        <v>8288.2800000000007</v>
      </c>
      <c r="L887" s="2">
        <v>2155.23</v>
      </c>
    </row>
    <row r="888" spans="1:12" x14ac:dyDescent="0.3">
      <c r="A888" s="6">
        <f ca="1">Table1[[#This Row],[Date]]*1</f>
        <v>45578</v>
      </c>
      <c r="B888" t="s">
        <v>34</v>
      </c>
      <c r="C888" t="s">
        <v>2</v>
      </c>
      <c r="D888" t="s">
        <v>3</v>
      </c>
      <c r="E888" t="s">
        <v>33</v>
      </c>
      <c r="F888" t="s">
        <v>29</v>
      </c>
      <c r="G888" s="2">
        <v>28</v>
      </c>
      <c r="H888" s="2">
        <v>552.86</v>
      </c>
      <c r="I888" s="2">
        <v>642.82000000000005</v>
      </c>
      <c r="J888" s="2">
        <v>15480.08</v>
      </c>
      <c r="K888" s="2">
        <v>17998.96</v>
      </c>
      <c r="L888" s="2">
        <v>2518.88</v>
      </c>
    </row>
    <row r="889" spans="1:12" x14ac:dyDescent="0.3">
      <c r="A889" s="6">
        <f ca="1">Table1[[#This Row],[Date]]*1</f>
        <v>45571</v>
      </c>
      <c r="B889" t="s">
        <v>44</v>
      </c>
      <c r="C889" t="s">
        <v>2</v>
      </c>
      <c r="D889" t="s">
        <v>14</v>
      </c>
      <c r="E889" t="s">
        <v>40</v>
      </c>
      <c r="F889" t="s">
        <v>32</v>
      </c>
      <c r="G889" s="2">
        <v>12</v>
      </c>
      <c r="H889" s="2">
        <v>297.41000000000003</v>
      </c>
      <c r="I889" s="2">
        <v>432.94</v>
      </c>
      <c r="J889" s="2">
        <v>3568.92</v>
      </c>
      <c r="K889" s="2">
        <v>5195.28</v>
      </c>
      <c r="L889" s="2">
        <v>1626.36</v>
      </c>
    </row>
    <row r="890" spans="1:12" x14ac:dyDescent="0.3">
      <c r="A890" s="6">
        <f ca="1">Table1[[#This Row],[Date]]*1</f>
        <v>45619</v>
      </c>
      <c r="B890" t="s">
        <v>45</v>
      </c>
      <c r="C890" t="s">
        <v>6</v>
      </c>
      <c r="D890" t="s">
        <v>7</v>
      </c>
      <c r="E890" t="s">
        <v>31</v>
      </c>
      <c r="F890" t="s">
        <v>29</v>
      </c>
      <c r="G890" s="2">
        <v>6</v>
      </c>
      <c r="H890" s="2">
        <v>496.6</v>
      </c>
      <c r="I890" s="2">
        <v>728.01</v>
      </c>
      <c r="J890" s="2">
        <v>2979.6</v>
      </c>
      <c r="K890" s="2">
        <v>4368.0600000000004</v>
      </c>
      <c r="L890" s="2">
        <v>1388.46</v>
      </c>
    </row>
    <row r="891" spans="1:12" x14ac:dyDescent="0.3">
      <c r="A891" s="6">
        <f ca="1">Table1[[#This Row],[Date]]*1</f>
        <v>45403</v>
      </c>
      <c r="B891" t="s">
        <v>41</v>
      </c>
      <c r="C891" t="s">
        <v>8</v>
      </c>
      <c r="D891" t="s">
        <v>9</v>
      </c>
      <c r="E891" t="s">
        <v>33</v>
      </c>
      <c r="F891" t="s">
        <v>29</v>
      </c>
      <c r="G891" s="2">
        <v>40</v>
      </c>
      <c r="H891" s="2">
        <v>216.32</v>
      </c>
      <c r="I891" s="2">
        <v>312.07</v>
      </c>
      <c r="J891" s="2">
        <v>8652.7999999999993</v>
      </c>
      <c r="K891" s="2">
        <v>12482.8</v>
      </c>
      <c r="L891" s="2">
        <v>3830</v>
      </c>
    </row>
    <row r="892" spans="1:12" x14ac:dyDescent="0.3">
      <c r="A892" s="6">
        <f ca="1">Table1[[#This Row],[Date]]*1</f>
        <v>45500</v>
      </c>
      <c r="B892" t="s">
        <v>34</v>
      </c>
      <c r="C892" t="s">
        <v>6</v>
      </c>
      <c r="D892" t="s">
        <v>17</v>
      </c>
      <c r="E892" t="s">
        <v>4</v>
      </c>
      <c r="F892" t="s">
        <v>32</v>
      </c>
      <c r="G892" s="2">
        <v>15</v>
      </c>
      <c r="H892" s="2">
        <v>463.7</v>
      </c>
      <c r="I892" s="2">
        <v>638.29999999999995</v>
      </c>
      <c r="J892" s="2">
        <v>6955.5</v>
      </c>
      <c r="K892" s="2">
        <v>9574.5</v>
      </c>
      <c r="L892" s="2">
        <v>2619</v>
      </c>
    </row>
    <row r="893" spans="1:12" x14ac:dyDescent="0.3">
      <c r="A893" s="6">
        <f ca="1">Table1[[#This Row],[Date]]*1</f>
        <v>45462</v>
      </c>
      <c r="B893" t="s">
        <v>36</v>
      </c>
      <c r="C893" t="s">
        <v>8</v>
      </c>
      <c r="D893" t="s">
        <v>16</v>
      </c>
      <c r="E893" t="s">
        <v>40</v>
      </c>
      <c r="F893" t="s">
        <v>29</v>
      </c>
      <c r="G893" s="2">
        <v>20</v>
      </c>
      <c r="H893" s="2">
        <v>880.87</v>
      </c>
      <c r="I893" s="2">
        <v>1219.93</v>
      </c>
      <c r="J893" s="2">
        <v>17617.400000000001</v>
      </c>
      <c r="K893" s="2">
        <v>24398.6</v>
      </c>
      <c r="L893" s="2">
        <v>6781.2</v>
      </c>
    </row>
    <row r="894" spans="1:12" x14ac:dyDescent="0.3">
      <c r="A894" s="6">
        <f ca="1">Table1[[#This Row],[Date]]*1</f>
        <v>45584</v>
      </c>
      <c r="B894" t="s">
        <v>28</v>
      </c>
      <c r="C894" t="s">
        <v>11</v>
      </c>
      <c r="D894" t="s">
        <v>12</v>
      </c>
      <c r="E894" t="s">
        <v>40</v>
      </c>
      <c r="F894" t="s">
        <v>29</v>
      </c>
      <c r="G894" s="2">
        <v>15</v>
      </c>
      <c r="H894" s="2">
        <v>906.09</v>
      </c>
      <c r="I894" s="2">
        <v>1151.7</v>
      </c>
      <c r="J894" s="2">
        <v>13591.35</v>
      </c>
      <c r="K894" s="2">
        <v>17275.5</v>
      </c>
      <c r="L894" s="2">
        <v>3684.15</v>
      </c>
    </row>
    <row r="895" spans="1:12" x14ac:dyDescent="0.3">
      <c r="A895" s="6">
        <f ca="1">Table1[[#This Row],[Date]]*1</f>
        <v>45476</v>
      </c>
      <c r="B895" t="s">
        <v>37</v>
      </c>
      <c r="C895" t="s">
        <v>2</v>
      </c>
      <c r="D895" t="s">
        <v>5</v>
      </c>
      <c r="E895" t="s">
        <v>31</v>
      </c>
      <c r="F895" t="s">
        <v>32</v>
      </c>
      <c r="G895" s="2">
        <v>2</v>
      </c>
      <c r="H895" s="2">
        <v>715.9</v>
      </c>
      <c r="I895" s="2">
        <v>830.94</v>
      </c>
      <c r="J895" s="2">
        <v>1431.8</v>
      </c>
      <c r="K895" s="2">
        <v>1661.88</v>
      </c>
      <c r="L895" s="2">
        <v>230.08</v>
      </c>
    </row>
    <row r="896" spans="1:12" x14ac:dyDescent="0.3">
      <c r="A896" s="6">
        <f ca="1">Table1[[#This Row],[Date]]*1</f>
        <v>45505</v>
      </c>
      <c r="B896" t="s">
        <v>37</v>
      </c>
      <c r="C896" t="s">
        <v>2</v>
      </c>
      <c r="D896" t="s">
        <v>5</v>
      </c>
      <c r="E896" t="s">
        <v>31</v>
      </c>
      <c r="F896" t="s">
        <v>29</v>
      </c>
      <c r="G896" s="2">
        <v>41</v>
      </c>
      <c r="H896" s="2">
        <v>552.20000000000005</v>
      </c>
      <c r="I896" s="2">
        <v>641.6</v>
      </c>
      <c r="J896" s="2">
        <v>22640.2</v>
      </c>
      <c r="K896" s="2">
        <v>26305.599999999999</v>
      </c>
      <c r="L896" s="2">
        <v>3665.4</v>
      </c>
    </row>
    <row r="897" spans="1:12" x14ac:dyDescent="0.3">
      <c r="A897" s="6">
        <f ca="1">Table1[[#This Row],[Date]]*1</f>
        <v>45324</v>
      </c>
      <c r="B897" t="s">
        <v>36</v>
      </c>
      <c r="C897" t="s">
        <v>6</v>
      </c>
      <c r="D897" t="s">
        <v>10</v>
      </c>
      <c r="E897" t="s">
        <v>40</v>
      </c>
      <c r="F897" t="s">
        <v>32</v>
      </c>
      <c r="G897" s="2">
        <v>35</v>
      </c>
      <c r="H897" s="2">
        <v>851.78</v>
      </c>
      <c r="I897" s="2">
        <v>1114.5899999999999</v>
      </c>
      <c r="J897" s="2">
        <v>29812.3</v>
      </c>
      <c r="K897" s="2">
        <v>39010.65</v>
      </c>
      <c r="L897" s="2">
        <v>9198.35</v>
      </c>
    </row>
    <row r="898" spans="1:12" x14ac:dyDescent="0.3">
      <c r="A898" s="6">
        <f ca="1">Table1[[#This Row],[Date]]*1</f>
        <v>45335</v>
      </c>
      <c r="B898" t="s">
        <v>30</v>
      </c>
      <c r="C898" t="s">
        <v>8</v>
      </c>
      <c r="D898" t="s">
        <v>16</v>
      </c>
      <c r="E898" t="s">
        <v>33</v>
      </c>
      <c r="F898" t="s">
        <v>32</v>
      </c>
      <c r="G898" s="2">
        <v>11</v>
      </c>
      <c r="H898" s="2">
        <v>476.26</v>
      </c>
      <c r="I898" s="2">
        <v>656.16</v>
      </c>
      <c r="J898" s="2">
        <v>5238.8599999999997</v>
      </c>
      <c r="K898" s="2">
        <v>7217.76</v>
      </c>
      <c r="L898" s="2">
        <v>1978.9</v>
      </c>
    </row>
    <row r="899" spans="1:12" x14ac:dyDescent="0.3">
      <c r="A899" s="6">
        <f ca="1">Table1[[#This Row],[Date]]*1</f>
        <v>45389</v>
      </c>
      <c r="B899" t="s">
        <v>41</v>
      </c>
      <c r="C899" t="s">
        <v>2</v>
      </c>
      <c r="D899" t="s">
        <v>14</v>
      </c>
      <c r="E899" t="s">
        <v>43</v>
      </c>
      <c r="F899" t="s">
        <v>29</v>
      </c>
      <c r="G899" s="2">
        <v>22</v>
      </c>
      <c r="H899" s="2">
        <v>399.73</v>
      </c>
      <c r="I899" s="2">
        <v>473.86</v>
      </c>
      <c r="J899" s="2">
        <v>8794.06</v>
      </c>
      <c r="K899" s="2">
        <v>10424.92</v>
      </c>
      <c r="L899" s="2">
        <v>1630.86</v>
      </c>
    </row>
    <row r="900" spans="1:12" x14ac:dyDescent="0.3">
      <c r="A900" s="6">
        <f ca="1">Table1[[#This Row],[Date]]*1</f>
        <v>45655</v>
      </c>
      <c r="B900" t="s">
        <v>37</v>
      </c>
      <c r="C900" t="s">
        <v>11</v>
      </c>
      <c r="D900" t="s">
        <v>12</v>
      </c>
      <c r="E900" t="s">
        <v>43</v>
      </c>
      <c r="F900" t="s">
        <v>29</v>
      </c>
      <c r="G900" s="2">
        <v>4</v>
      </c>
      <c r="H900" s="2">
        <v>454.74</v>
      </c>
      <c r="I900" s="2">
        <v>522.44000000000005</v>
      </c>
      <c r="J900" s="2">
        <v>1818.96</v>
      </c>
      <c r="K900" s="2">
        <v>2089.7600000000002</v>
      </c>
      <c r="L900" s="2">
        <v>270.8</v>
      </c>
    </row>
    <row r="901" spans="1:12" x14ac:dyDescent="0.3">
      <c r="A901" s="6">
        <f ca="1">Table1[[#This Row],[Date]]*1</f>
        <v>45393</v>
      </c>
      <c r="B901" t="s">
        <v>39</v>
      </c>
      <c r="C901" t="s">
        <v>2</v>
      </c>
      <c r="D901" t="s">
        <v>3</v>
      </c>
      <c r="E901" t="s">
        <v>31</v>
      </c>
      <c r="F901" t="s">
        <v>29</v>
      </c>
      <c r="G901" s="2">
        <v>33</v>
      </c>
      <c r="H901" s="2">
        <v>422.65</v>
      </c>
      <c r="I901" s="2">
        <v>522.29999999999995</v>
      </c>
      <c r="J901" s="2">
        <v>13947.45</v>
      </c>
      <c r="K901" s="2">
        <v>17235.900000000001</v>
      </c>
      <c r="L901" s="2">
        <v>3288.45</v>
      </c>
    </row>
    <row r="902" spans="1:12" x14ac:dyDescent="0.3">
      <c r="A902" s="6">
        <f ca="1">Table1[[#This Row],[Date]]*1</f>
        <v>45375</v>
      </c>
      <c r="B902" t="s">
        <v>41</v>
      </c>
      <c r="C902" t="s">
        <v>11</v>
      </c>
      <c r="D902" t="s">
        <v>15</v>
      </c>
      <c r="E902" t="s">
        <v>33</v>
      </c>
      <c r="F902" t="s">
        <v>29</v>
      </c>
      <c r="G902" s="2">
        <v>35</v>
      </c>
      <c r="H902" s="2">
        <v>71.55</v>
      </c>
      <c r="I902" s="2">
        <v>92.51</v>
      </c>
      <c r="J902" s="2">
        <v>2504.25</v>
      </c>
      <c r="K902" s="2">
        <v>3237.85</v>
      </c>
      <c r="L902" s="2">
        <v>733.6</v>
      </c>
    </row>
    <row r="903" spans="1:12" x14ac:dyDescent="0.3">
      <c r="A903" s="6">
        <f ca="1">Table1[[#This Row],[Date]]*1</f>
        <v>45533</v>
      </c>
      <c r="B903" t="s">
        <v>41</v>
      </c>
      <c r="C903" t="s">
        <v>2</v>
      </c>
      <c r="D903" t="s">
        <v>14</v>
      </c>
      <c r="E903" t="s">
        <v>35</v>
      </c>
      <c r="F903" t="s">
        <v>29</v>
      </c>
      <c r="G903" s="2">
        <v>13</v>
      </c>
      <c r="H903" s="2">
        <v>597.9</v>
      </c>
      <c r="I903" s="2">
        <v>663.16</v>
      </c>
      <c r="J903" s="2">
        <v>7772.7</v>
      </c>
      <c r="K903" s="2">
        <v>8621.08</v>
      </c>
      <c r="L903" s="2">
        <v>848.38</v>
      </c>
    </row>
    <row r="904" spans="1:12" x14ac:dyDescent="0.3">
      <c r="A904" s="6">
        <f ca="1">Table1[[#This Row],[Date]]*1</f>
        <v>45445</v>
      </c>
      <c r="B904" t="s">
        <v>36</v>
      </c>
      <c r="C904" t="s">
        <v>11</v>
      </c>
      <c r="D904" t="s">
        <v>15</v>
      </c>
      <c r="E904" t="s">
        <v>35</v>
      </c>
      <c r="F904" t="s">
        <v>29</v>
      </c>
      <c r="G904" s="2">
        <v>34</v>
      </c>
      <c r="H904" s="2">
        <v>79.430000000000007</v>
      </c>
      <c r="I904" s="2">
        <v>102.22</v>
      </c>
      <c r="J904" s="2">
        <v>2700.62</v>
      </c>
      <c r="K904" s="2">
        <v>3475.48</v>
      </c>
      <c r="L904" s="2">
        <v>774.86</v>
      </c>
    </row>
    <row r="905" spans="1:12" x14ac:dyDescent="0.3">
      <c r="A905" s="6">
        <f ca="1">Table1[[#This Row],[Date]]*1</f>
        <v>45587</v>
      </c>
      <c r="B905" t="s">
        <v>28</v>
      </c>
      <c r="C905" t="s">
        <v>2</v>
      </c>
      <c r="D905" t="s">
        <v>14</v>
      </c>
      <c r="E905" t="s">
        <v>43</v>
      </c>
      <c r="F905" t="s">
        <v>29</v>
      </c>
      <c r="G905" s="2">
        <v>35</v>
      </c>
      <c r="H905" s="2">
        <v>794.36</v>
      </c>
      <c r="I905" s="2">
        <v>1143.3499999999999</v>
      </c>
      <c r="J905" s="2">
        <v>27802.6</v>
      </c>
      <c r="K905" s="2">
        <v>40017.25</v>
      </c>
      <c r="L905" s="2">
        <v>12214.65</v>
      </c>
    </row>
    <row r="906" spans="1:12" x14ac:dyDescent="0.3">
      <c r="A906" s="6">
        <f ca="1">Table1[[#This Row],[Date]]*1</f>
        <v>45498</v>
      </c>
      <c r="B906" t="s">
        <v>39</v>
      </c>
      <c r="C906" t="s">
        <v>11</v>
      </c>
      <c r="D906" t="s">
        <v>12</v>
      </c>
      <c r="E906" t="s">
        <v>31</v>
      </c>
      <c r="F906" t="s">
        <v>32</v>
      </c>
      <c r="G906" s="2">
        <v>48</v>
      </c>
      <c r="H906" s="2">
        <v>722.2</v>
      </c>
      <c r="I906" s="2">
        <v>1022.96</v>
      </c>
      <c r="J906" s="2">
        <v>34665.599999999999</v>
      </c>
      <c r="K906" s="2">
        <v>49102.080000000002</v>
      </c>
      <c r="L906" s="2">
        <v>14436.48</v>
      </c>
    </row>
    <row r="907" spans="1:12" x14ac:dyDescent="0.3">
      <c r="A907" s="6">
        <f ca="1">Table1[[#This Row],[Date]]*1</f>
        <v>45481</v>
      </c>
      <c r="B907" t="s">
        <v>37</v>
      </c>
      <c r="C907" t="s">
        <v>8</v>
      </c>
      <c r="D907" t="s">
        <v>42</v>
      </c>
      <c r="E907" t="s">
        <v>43</v>
      </c>
      <c r="F907" t="s">
        <v>32</v>
      </c>
      <c r="G907" s="2">
        <v>4</v>
      </c>
      <c r="H907" s="2">
        <v>670.18</v>
      </c>
      <c r="I907" s="2">
        <v>847.36</v>
      </c>
      <c r="J907" s="2">
        <v>2680.72</v>
      </c>
      <c r="K907" s="2">
        <v>3389.44</v>
      </c>
      <c r="L907" s="2">
        <v>708.72</v>
      </c>
    </row>
    <row r="908" spans="1:12" x14ac:dyDescent="0.3">
      <c r="A908" s="6">
        <f ca="1">Table1[[#This Row],[Date]]*1</f>
        <v>45500</v>
      </c>
      <c r="B908" t="s">
        <v>39</v>
      </c>
      <c r="C908" t="s">
        <v>11</v>
      </c>
      <c r="D908" t="s">
        <v>15</v>
      </c>
      <c r="E908" t="s">
        <v>43</v>
      </c>
      <c r="F908" t="s">
        <v>29</v>
      </c>
      <c r="G908" s="2">
        <v>20</v>
      </c>
      <c r="H908" s="2">
        <v>449.65</v>
      </c>
      <c r="I908" s="2">
        <v>602.55999999999995</v>
      </c>
      <c r="J908" s="2">
        <v>8993</v>
      </c>
      <c r="K908" s="2">
        <v>12051.2</v>
      </c>
      <c r="L908" s="2">
        <v>3058.2</v>
      </c>
    </row>
    <row r="909" spans="1:12" x14ac:dyDescent="0.3">
      <c r="A909" s="6">
        <f ca="1">Table1[[#This Row],[Date]]*1</f>
        <v>45512</v>
      </c>
      <c r="B909" t="s">
        <v>36</v>
      </c>
      <c r="C909" t="s">
        <v>2</v>
      </c>
      <c r="D909" t="s">
        <v>14</v>
      </c>
      <c r="E909" t="s">
        <v>4</v>
      </c>
      <c r="F909" t="s">
        <v>29</v>
      </c>
      <c r="G909" s="2">
        <v>10</v>
      </c>
      <c r="H909" s="2">
        <v>930.72</v>
      </c>
      <c r="I909" s="2">
        <v>1085.25</v>
      </c>
      <c r="J909" s="2">
        <v>9307.2000000000007</v>
      </c>
      <c r="K909" s="2">
        <v>10852.5</v>
      </c>
      <c r="L909" s="2">
        <v>1545.3</v>
      </c>
    </row>
    <row r="910" spans="1:12" x14ac:dyDescent="0.3">
      <c r="A910" s="6">
        <f ca="1">Table1[[#This Row],[Date]]*1</f>
        <v>45654</v>
      </c>
      <c r="B910" t="s">
        <v>39</v>
      </c>
      <c r="C910" t="s">
        <v>6</v>
      </c>
      <c r="D910" t="s">
        <v>7</v>
      </c>
      <c r="E910" t="s">
        <v>31</v>
      </c>
      <c r="F910" t="s">
        <v>29</v>
      </c>
      <c r="G910" s="2">
        <v>42</v>
      </c>
      <c r="H910" s="2">
        <v>140.66999999999999</v>
      </c>
      <c r="I910" s="2">
        <v>203.68</v>
      </c>
      <c r="J910" s="2">
        <v>5908.14</v>
      </c>
      <c r="K910" s="2">
        <v>8554.56</v>
      </c>
      <c r="L910" s="2">
        <v>2646.42</v>
      </c>
    </row>
    <row r="911" spans="1:12" x14ac:dyDescent="0.3">
      <c r="A911" s="6">
        <f ca="1">Table1[[#This Row],[Date]]*1</f>
        <v>45513</v>
      </c>
      <c r="B911" t="s">
        <v>45</v>
      </c>
      <c r="C911" t="s">
        <v>11</v>
      </c>
      <c r="D911" t="s">
        <v>13</v>
      </c>
      <c r="E911" t="s">
        <v>43</v>
      </c>
      <c r="F911" t="s">
        <v>32</v>
      </c>
      <c r="G911" s="2">
        <v>27</v>
      </c>
      <c r="H911" s="2">
        <v>213.23</v>
      </c>
      <c r="I911" s="2">
        <v>273.88</v>
      </c>
      <c r="J911" s="2">
        <v>5757.21</v>
      </c>
      <c r="K911" s="2">
        <v>7394.76</v>
      </c>
      <c r="L911" s="2">
        <v>1637.55</v>
      </c>
    </row>
    <row r="912" spans="1:12" x14ac:dyDescent="0.3">
      <c r="A912" s="6">
        <f ca="1">Table1[[#This Row],[Date]]*1</f>
        <v>45648</v>
      </c>
      <c r="B912" t="s">
        <v>45</v>
      </c>
      <c r="C912" t="s">
        <v>6</v>
      </c>
      <c r="D912" t="s">
        <v>17</v>
      </c>
      <c r="E912" t="s">
        <v>33</v>
      </c>
      <c r="F912" t="s">
        <v>29</v>
      </c>
      <c r="G912" s="2">
        <v>36</v>
      </c>
      <c r="H912" s="2">
        <v>65.13</v>
      </c>
      <c r="I912" s="2">
        <v>96.39</v>
      </c>
      <c r="J912" s="2">
        <v>2344.6799999999998</v>
      </c>
      <c r="K912" s="2">
        <v>3470.04</v>
      </c>
      <c r="L912" s="2">
        <v>1125.3599999999999</v>
      </c>
    </row>
    <row r="913" spans="1:12" x14ac:dyDescent="0.3">
      <c r="A913" s="6">
        <f ca="1">Table1[[#This Row],[Date]]*1</f>
        <v>45640</v>
      </c>
      <c r="B913" t="s">
        <v>30</v>
      </c>
      <c r="C913" t="s">
        <v>8</v>
      </c>
      <c r="D913" t="s">
        <v>16</v>
      </c>
      <c r="E913" t="s">
        <v>33</v>
      </c>
      <c r="F913" t="s">
        <v>29</v>
      </c>
      <c r="G913" s="2">
        <v>49</v>
      </c>
      <c r="H913" s="2">
        <v>216.43</v>
      </c>
      <c r="I913" s="2">
        <v>295.70999999999998</v>
      </c>
      <c r="J913" s="2">
        <v>10605.07</v>
      </c>
      <c r="K913" s="2">
        <v>14489.79</v>
      </c>
      <c r="L913" s="2">
        <v>3884.72</v>
      </c>
    </row>
    <row r="914" spans="1:12" x14ac:dyDescent="0.3">
      <c r="A914" s="6">
        <f ca="1">Table1[[#This Row],[Date]]*1</f>
        <v>45410</v>
      </c>
      <c r="B914" t="s">
        <v>28</v>
      </c>
      <c r="C914" t="s">
        <v>11</v>
      </c>
      <c r="D914" t="s">
        <v>13</v>
      </c>
      <c r="E914" t="s">
        <v>31</v>
      </c>
      <c r="F914" t="s">
        <v>32</v>
      </c>
      <c r="G914" s="2">
        <v>8</v>
      </c>
      <c r="H914" s="2">
        <v>722.32</v>
      </c>
      <c r="I914" s="2">
        <v>795.63</v>
      </c>
      <c r="J914" s="2">
        <v>5778.56</v>
      </c>
      <c r="K914" s="2">
        <v>6365.04</v>
      </c>
      <c r="L914" s="2">
        <v>586.48</v>
      </c>
    </row>
    <row r="915" spans="1:12" x14ac:dyDescent="0.3">
      <c r="A915" s="6">
        <f ca="1">Table1[[#This Row],[Date]]*1</f>
        <v>45486</v>
      </c>
      <c r="B915" t="s">
        <v>39</v>
      </c>
      <c r="C915" t="s">
        <v>8</v>
      </c>
      <c r="D915" t="s">
        <v>9</v>
      </c>
      <c r="E915" t="s">
        <v>40</v>
      </c>
      <c r="F915" t="s">
        <v>29</v>
      </c>
      <c r="G915" s="2">
        <v>29</v>
      </c>
      <c r="H915" s="2">
        <v>570.52</v>
      </c>
      <c r="I915" s="2">
        <v>729.84</v>
      </c>
      <c r="J915" s="2">
        <v>16545.080000000002</v>
      </c>
      <c r="K915" s="2">
        <v>21165.360000000001</v>
      </c>
      <c r="L915" s="2">
        <v>4620.28</v>
      </c>
    </row>
    <row r="916" spans="1:12" x14ac:dyDescent="0.3">
      <c r="A916" s="6">
        <f ca="1">Table1[[#This Row],[Date]]*1</f>
        <v>45496</v>
      </c>
      <c r="B916" t="s">
        <v>38</v>
      </c>
      <c r="C916" t="s">
        <v>2</v>
      </c>
      <c r="D916" t="s">
        <v>5</v>
      </c>
      <c r="E916" t="s">
        <v>31</v>
      </c>
      <c r="F916" t="s">
        <v>29</v>
      </c>
      <c r="G916" s="2">
        <v>34</v>
      </c>
      <c r="H916" s="2">
        <v>784.14</v>
      </c>
      <c r="I916" s="2">
        <v>989.01</v>
      </c>
      <c r="J916" s="2">
        <v>26660.76</v>
      </c>
      <c r="K916" s="2">
        <v>33626.339999999997</v>
      </c>
      <c r="L916" s="2">
        <v>6965.58</v>
      </c>
    </row>
    <row r="917" spans="1:12" x14ac:dyDescent="0.3">
      <c r="A917" s="6">
        <f ca="1">Table1[[#This Row],[Date]]*1</f>
        <v>45528</v>
      </c>
      <c r="B917" t="s">
        <v>28</v>
      </c>
      <c r="C917" t="s">
        <v>11</v>
      </c>
      <c r="D917" t="s">
        <v>15</v>
      </c>
      <c r="E917" t="s">
        <v>31</v>
      </c>
      <c r="F917" t="s">
        <v>32</v>
      </c>
      <c r="G917" s="2">
        <v>20</v>
      </c>
      <c r="H917" s="2">
        <v>386.48</v>
      </c>
      <c r="I917" s="2">
        <v>455.06</v>
      </c>
      <c r="J917" s="2">
        <v>7729.6</v>
      </c>
      <c r="K917" s="2">
        <v>9101.2000000000007</v>
      </c>
      <c r="L917" s="2">
        <v>1371.6</v>
      </c>
    </row>
    <row r="918" spans="1:12" x14ac:dyDescent="0.3">
      <c r="A918" s="6">
        <f ca="1">Table1[[#This Row],[Date]]*1</f>
        <v>45553</v>
      </c>
      <c r="B918" t="s">
        <v>34</v>
      </c>
      <c r="C918" t="s">
        <v>11</v>
      </c>
      <c r="D918" t="s">
        <v>15</v>
      </c>
      <c r="E918" t="s">
        <v>40</v>
      </c>
      <c r="F918" t="s">
        <v>32</v>
      </c>
      <c r="G918" s="2">
        <v>13</v>
      </c>
      <c r="H918" s="2">
        <v>914.04</v>
      </c>
      <c r="I918" s="2">
        <v>1101.31</v>
      </c>
      <c r="J918" s="2">
        <v>11882.52</v>
      </c>
      <c r="K918" s="2">
        <v>14317.03</v>
      </c>
      <c r="L918" s="2">
        <v>2434.5100000000002</v>
      </c>
    </row>
    <row r="919" spans="1:12" x14ac:dyDescent="0.3">
      <c r="A919" s="6">
        <f ca="1">Table1[[#This Row],[Date]]*1</f>
        <v>45511</v>
      </c>
      <c r="B919" t="s">
        <v>39</v>
      </c>
      <c r="C919" t="s">
        <v>11</v>
      </c>
      <c r="D919" t="s">
        <v>12</v>
      </c>
      <c r="E919" t="s">
        <v>4</v>
      </c>
      <c r="F919" t="s">
        <v>29</v>
      </c>
      <c r="G919" s="2">
        <v>47</v>
      </c>
      <c r="H919" s="2">
        <v>156.27000000000001</v>
      </c>
      <c r="I919" s="2">
        <v>195.63</v>
      </c>
      <c r="J919" s="2">
        <v>7344.69</v>
      </c>
      <c r="K919" s="2">
        <v>9194.61</v>
      </c>
      <c r="L919" s="2">
        <v>1849.92</v>
      </c>
    </row>
    <row r="920" spans="1:12" x14ac:dyDescent="0.3">
      <c r="A920" s="6">
        <f ca="1">Table1[[#This Row],[Date]]*1</f>
        <v>45652</v>
      </c>
      <c r="B920" t="s">
        <v>36</v>
      </c>
      <c r="C920" t="s">
        <v>2</v>
      </c>
      <c r="D920" t="s">
        <v>3</v>
      </c>
      <c r="E920" t="s">
        <v>4</v>
      </c>
      <c r="F920" t="s">
        <v>29</v>
      </c>
      <c r="G920" s="2">
        <v>47</v>
      </c>
      <c r="H920" s="2">
        <v>358.17</v>
      </c>
      <c r="I920" s="2">
        <v>428.12</v>
      </c>
      <c r="J920" s="2">
        <v>16833.990000000002</v>
      </c>
      <c r="K920" s="2">
        <v>20121.64</v>
      </c>
      <c r="L920" s="2">
        <v>3287.65</v>
      </c>
    </row>
    <row r="921" spans="1:12" x14ac:dyDescent="0.3">
      <c r="A921" s="6">
        <f ca="1">Table1[[#This Row],[Date]]*1</f>
        <v>45557</v>
      </c>
      <c r="B921" t="s">
        <v>39</v>
      </c>
      <c r="C921" t="s">
        <v>6</v>
      </c>
      <c r="D921" t="s">
        <v>7</v>
      </c>
      <c r="E921" t="s">
        <v>4</v>
      </c>
      <c r="F921" t="s">
        <v>32</v>
      </c>
      <c r="G921" s="2">
        <v>7</v>
      </c>
      <c r="H921" s="2">
        <v>737.01</v>
      </c>
      <c r="I921" s="2">
        <v>857.57</v>
      </c>
      <c r="J921" s="2">
        <v>5159.07</v>
      </c>
      <c r="K921" s="2">
        <v>6002.99</v>
      </c>
      <c r="L921" s="2">
        <v>843.92</v>
      </c>
    </row>
    <row r="922" spans="1:12" x14ac:dyDescent="0.3">
      <c r="A922" s="6">
        <f ca="1">Table1[[#This Row],[Date]]*1</f>
        <v>45332</v>
      </c>
      <c r="B922" t="s">
        <v>34</v>
      </c>
      <c r="C922" t="s">
        <v>11</v>
      </c>
      <c r="D922" t="s">
        <v>15</v>
      </c>
      <c r="E922" t="s">
        <v>43</v>
      </c>
      <c r="F922" t="s">
        <v>32</v>
      </c>
      <c r="G922" s="2">
        <v>2</v>
      </c>
      <c r="H922" s="2">
        <v>479.43</v>
      </c>
      <c r="I922" s="2">
        <v>601.26</v>
      </c>
      <c r="J922" s="2">
        <v>958.86</v>
      </c>
      <c r="K922" s="2">
        <v>1202.52</v>
      </c>
      <c r="L922" s="2">
        <v>243.66</v>
      </c>
    </row>
    <row r="923" spans="1:12" x14ac:dyDescent="0.3">
      <c r="A923" s="6">
        <f ca="1">Table1[[#This Row],[Date]]*1</f>
        <v>45528</v>
      </c>
      <c r="B923" t="s">
        <v>37</v>
      </c>
      <c r="C923" t="s">
        <v>6</v>
      </c>
      <c r="D923" t="s">
        <v>7</v>
      </c>
      <c r="E923" t="s">
        <v>31</v>
      </c>
      <c r="F923" t="s">
        <v>29</v>
      </c>
      <c r="G923" s="2">
        <v>22</v>
      </c>
      <c r="H923" s="2">
        <v>684.67</v>
      </c>
      <c r="I923" s="2">
        <v>954.46</v>
      </c>
      <c r="J923" s="2">
        <v>15062.74</v>
      </c>
      <c r="K923" s="2">
        <v>20998.12</v>
      </c>
      <c r="L923" s="2">
        <v>5935.38</v>
      </c>
    </row>
    <row r="924" spans="1:12" x14ac:dyDescent="0.3">
      <c r="A924" s="6">
        <f ca="1">Table1[[#This Row],[Date]]*1</f>
        <v>45402</v>
      </c>
      <c r="B924" t="s">
        <v>41</v>
      </c>
      <c r="C924" t="s">
        <v>8</v>
      </c>
      <c r="D924" t="s">
        <v>16</v>
      </c>
      <c r="E924" t="s">
        <v>43</v>
      </c>
      <c r="F924" t="s">
        <v>29</v>
      </c>
      <c r="G924" s="2">
        <v>35</v>
      </c>
      <c r="H924" s="2">
        <v>921.37</v>
      </c>
      <c r="I924" s="2">
        <v>1014.87</v>
      </c>
      <c r="J924" s="2">
        <v>32247.95</v>
      </c>
      <c r="K924" s="2">
        <v>35520.449999999997</v>
      </c>
      <c r="L924" s="2">
        <v>3272.5</v>
      </c>
    </row>
    <row r="925" spans="1:12" x14ac:dyDescent="0.3">
      <c r="A925" s="6">
        <f ca="1">Table1[[#This Row],[Date]]*1</f>
        <v>45436</v>
      </c>
      <c r="B925" t="s">
        <v>30</v>
      </c>
      <c r="C925" t="s">
        <v>2</v>
      </c>
      <c r="D925" t="s">
        <v>14</v>
      </c>
      <c r="E925" t="s">
        <v>31</v>
      </c>
      <c r="F925" t="s">
        <v>29</v>
      </c>
      <c r="G925" s="2">
        <v>47</v>
      </c>
      <c r="H925" s="2">
        <v>651.01</v>
      </c>
      <c r="I925" s="2">
        <v>873.22</v>
      </c>
      <c r="J925" s="2">
        <v>30597.47</v>
      </c>
      <c r="K925" s="2">
        <v>41041.339999999997</v>
      </c>
      <c r="L925" s="2">
        <v>10443.870000000001</v>
      </c>
    </row>
    <row r="926" spans="1:12" x14ac:dyDescent="0.3">
      <c r="A926" s="6">
        <f ca="1">Table1[[#This Row],[Date]]*1</f>
        <v>45385</v>
      </c>
      <c r="B926" t="s">
        <v>37</v>
      </c>
      <c r="C926" t="s">
        <v>2</v>
      </c>
      <c r="D926" t="s">
        <v>5</v>
      </c>
      <c r="E926" t="s">
        <v>33</v>
      </c>
      <c r="F926" t="s">
        <v>29</v>
      </c>
      <c r="G926" s="2">
        <v>3</v>
      </c>
      <c r="H926" s="2">
        <v>855.76</v>
      </c>
      <c r="I926" s="2">
        <v>1108.42</v>
      </c>
      <c r="J926" s="2">
        <v>2567.2800000000002</v>
      </c>
      <c r="K926" s="2">
        <v>3325.26</v>
      </c>
      <c r="L926" s="2">
        <v>757.98</v>
      </c>
    </row>
    <row r="927" spans="1:12" x14ac:dyDescent="0.3">
      <c r="A927" s="6">
        <f ca="1">Table1[[#This Row],[Date]]*1</f>
        <v>45454</v>
      </c>
      <c r="B927" t="s">
        <v>30</v>
      </c>
      <c r="C927" t="s">
        <v>8</v>
      </c>
      <c r="D927" t="s">
        <v>42</v>
      </c>
      <c r="E927" t="s">
        <v>35</v>
      </c>
      <c r="F927" t="s">
        <v>29</v>
      </c>
      <c r="G927" s="2">
        <v>3</v>
      </c>
      <c r="H927" s="2">
        <v>299.92</v>
      </c>
      <c r="I927" s="2">
        <v>400.82</v>
      </c>
      <c r="J927" s="2">
        <v>899.76</v>
      </c>
      <c r="K927" s="2">
        <v>1202.46</v>
      </c>
      <c r="L927" s="2">
        <v>302.7</v>
      </c>
    </row>
    <row r="928" spans="1:12" x14ac:dyDescent="0.3">
      <c r="A928" s="6">
        <f ca="1">Table1[[#This Row],[Date]]*1</f>
        <v>45300</v>
      </c>
      <c r="B928" t="s">
        <v>39</v>
      </c>
      <c r="C928" t="s">
        <v>6</v>
      </c>
      <c r="D928" t="s">
        <v>10</v>
      </c>
      <c r="E928" t="s">
        <v>43</v>
      </c>
      <c r="F928" t="s">
        <v>29</v>
      </c>
      <c r="G928" s="2">
        <v>26</v>
      </c>
      <c r="H928" s="2">
        <v>764.39</v>
      </c>
      <c r="I928" s="2">
        <v>851.77</v>
      </c>
      <c r="J928" s="2">
        <v>19874.14</v>
      </c>
      <c r="K928" s="2">
        <v>22146.02</v>
      </c>
      <c r="L928" s="2">
        <v>2271.88</v>
      </c>
    </row>
    <row r="929" spans="1:12" x14ac:dyDescent="0.3">
      <c r="A929" s="6">
        <f ca="1">Table1[[#This Row],[Date]]*1</f>
        <v>45494</v>
      </c>
      <c r="B929" t="s">
        <v>44</v>
      </c>
      <c r="C929" t="s">
        <v>6</v>
      </c>
      <c r="D929" t="s">
        <v>7</v>
      </c>
      <c r="E929" t="s">
        <v>43</v>
      </c>
      <c r="F929" t="s">
        <v>29</v>
      </c>
      <c r="G929" s="2">
        <v>13</v>
      </c>
      <c r="H929" s="2">
        <v>271.88</v>
      </c>
      <c r="I929" s="2">
        <v>345.39</v>
      </c>
      <c r="J929" s="2">
        <v>3534.44</v>
      </c>
      <c r="K929" s="2">
        <v>4490.07</v>
      </c>
      <c r="L929" s="2">
        <v>955.63</v>
      </c>
    </row>
    <row r="930" spans="1:12" x14ac:dyDescent="0.3">
      <c r="A930" s="6">
        <f ca="1">Table1[[#This Row],[Date]]*1</f>
        <v>45490</v>
      </c>
      <c r="B930" t="s">
        <v>44</v>
      </c>
      <c r="C930" t="s">
        <v>2</v>
      </c>
      <c r="D930" t="s">
        <v>5</v>
      </c>
      <c r="E930" t="s">
        <v>33</v>
      </c>
      <c r="F930" t="s">
        <v>32</v>
      </c>
      <c r="G930" s="2">
        <v>12</v>
      </c>
      <c r="H930" s="2">
        <v>250.19</v>
      </c>
      <c r="I930" s="2">
        <v>372.22</v>
      </c>
      <c r="J930" s="2">
        <v>3002.28</v>
      </c>
      <c r="K930" s="2">
        <v>4466.6400000000003</v>
      </c>
      <c r="L930" s="2">
        <v>1464.36</v>
      </c>
    </row>
    <row r="931" spans="1:12" x14ac:dyDescent="0.3">
      <c r="A931" s="6">
        <f ca="1">Table1[[#This Row],[Date]]*1</f>
        <v>45592</v>
      </c>
      <c r="B931" t="s">
        <v>44</v>
      </c>
      <c r="C931" t="s">
        <v>11</v>
      </c>
      <c r="D931" t="s">
        <v>13</v>
      </c>
      <c r="E931" t="s">
        <v>4</v>
      </c>
      <c r="F931" t="s">
        <v>29</v>
      </c>
      <c r="G931" s="2">
        <v>37</v>
      </c>
      <c r="H931" s="2">
        <v>223.8</v>
      </c>
      <c r="I931" s="2">
        <v>307.42</v>
      </c>
      <c r="J931" s="2">
        <v>8280.6</v>
      </c>
      <c r="K931" s="2">
        <v>11374.54</v>
      </c>
      <c r="L931" s="2">
        <v>3093.94</v>
      </c>
    </row>
    <row r="932" spans="1:12" x14ac:dyDescent="0.3">
      <c r="A932" s="6">
        <f ca="1">Table1[[#This Row],[Date]]*1</f>
        <v>45382</v>
      </c>
      <c r="B932" t="s">
        <v>28</v>
      </c>
      <c r="C932" t="s">
        <v>11</v>
      </c>
      <c r="D932" t="s">
        <v>15</v>
      </c>
      <c r="E932" t="s">
        <v>40</v>
      </c>
      <c r="F932" t="s">
        <v>29</v>
      </c>
      <c r="G932" s="2">
        <v>8</v>
      </c>
      <c r="H932" s="2">
        <v>65.349999999999994</v>
      </c>
      <c r="I932" s="2">
        <v>86</v>
      </c>
      <c r="J932" s="2">
        <v>522.79999999999995</v>
      </c>
      <c r="K932" s="2">
        <v>688</v>
      </c>
      <c r="L932" s="2">
        <v>165.2</v>
      </c>
    </row>
    <row r="933" spans="1:12" x14ac:dyDescent="0.3">
      <c r="A933" s="6">
        <f ca="1">Table1[[#This Row],[Date]]*1</f>
        <v>45512</v>
      </c>
      <c r="B933" t="s">
        <v>44</v>
      </c>
      <c r="C933" t="s">
        <v>2</v>
      </c>
      <c r="D933" t="s">
        <v>5</v>
      </c>
      <c r="E933" t="s">
        <v>33</v>
      </c>
      <c r="F933" t="s">
        <v>32</v>
      </c>
      <c r="G933" s="2">
        <v>21</v>
      </c>
      <c r="H933" s="2">
        <v>176.2</v>
      </c>
      <c r="I933" s="2">
        <v>222.26</v>
      </c>
      <c r="J933" s="2">
        <v>3700.2</v>
      </c>
      <c r="K933" s="2">
        <v>4667.46</v>
      </c>
      <c r="L933" s="2">
        <v>967.26</v>
      </c>
    </row>
    <row r="934" spans="1:12" x14ac:dyDescent="0.3">
      <c r="A934" s="6">
        <f ca="1">Table1[[#This Row],[Date]]*1</f>
        <v>45347</v>
      </c>
      <c r="B934" t="s">
        <v>30</v>
      </c>
      <c r="C934" t="s">
        <v>11</v>
      </c>
      <c r="D934" t="s">
        <v>15</v>
      </c>
      <c r="E934" t="s">
        <v>31</v>
      </c>
      <c r="F934" t="s">
        <v>29</v>
      </c>
      <c r="G934" s="2">
        <v>34</v>
      </c>
      <c r="H934" s="2">
        <v>307.60000000000002</v>
      </c>
      <c r="I934" s="2">
        <v>416.46</v>
      </c>
      <c r="J934" s="2">
        <v>10458.4</v>
      </c>
      <c r="K934" s="2">
        <v>14159.64</v>
      </c>
      <c r="L934" s="2">
        <v>3701.24</v>
      </c>
    </row>
    <row r="935" spans="1:12" x14ac:dyDescent="0.3">
      <c r="A935" s="6">
        <f ca="1">Table1[[#This Row],[Date]]*1</f>
        <v>45352</v>
      </c>
      <c r="B935" t="s">
        <v>37</v>
      </c>
      <c r="C935" t="s">
        <v>11</v>
      </c>
      <c r="D935" t="s">
        <v>13</v>
      </c>
      <c r="E935" t="s">
        <v>4</v>
      </c>
      <c r="F935" t="s">
        <v>32</v>
      </c>
      <c r="G935" s="2">
        <v>13</v>
      </c>
      <c r="H935" s="2">
        <v>264.89999999999998</v>
      </c>
      <c r="I935" s="2">
        <v>359.12</v>
      </c>
      <c r="J935" s="2">
        <v>3443.7</v>
      </c>
      <c r="K935" s="2">
        <v>4668.5600000000004</v>
      </c>
      <c r="L935" s="2">
        <v>1224.8599999999999</v>
      </c>
    </row>
    <row r="936" spans="1:12" x14ac:dyDescent="0.3">
      <c r="A936" s="6">
        <f ca="1">Table1[[#This Row],[Date]]*1</f>
        <v>45634</v>
      </c>
      <c r="B936" t="s">
        <v>36</v>
      </c>
      <c r="C936" t="s">
        <v>11</v>
      </c>
      <c r="D936" t="s">
        <v>13</v>
      </c>
      <c r="E936" t="s">
        <v>33</v>
      </c>
      <c r="F936" t="s">
        <v>32</v>
      </c>
      <c r="G936" s="2">
        <v>3</v>
      </c>
      <c r="H936" s="2">
        <v>446.87</v>
      </c>
      <c r="I936" s="2">
        <v>630.15</v>
      </c>
      <c r="J936" s="2">
        <v>1340.61</v>
      </c>
      <c r="K936" s="2">
        <v>1890.45</v>
      </c>
      <c r="L936" s="2">
        <v>549.84</v>
      </c>
    </row>
    <row r="937" spans="1:12" x14ac:dyDescent="0.3">
      <c r="A937" s="6">
        <f ca="1">Table1[[#This Row],[Date]]*1</f>
        <v>45617</v>
      </c>
      <c r="B937" t="s">
        <v>30</v>
      </c>
      <c r="C937" t="s">
        <v>2</v>
      </c>
      <c r="D937" t="s">
        <v>14</v>
      </c>
      <c r="E937" t="s">
        <v>31</v>
      </c>
      <c r="F937" t="s">
        <v>29</v>
      </c>
      <c r="G937" s="2">
        <v>14</v>
      </c>
      <c r="H937" s="2">
        <v>960.43</v>
      </c>
      <c r="I937" s="2">
        <v>1095.03</v>
      </c>
      <c r="J937" s="2">
        <v>13446.02</v>
      </c>
      <c r="K937" s="2">
        <v>15330.42</v>
      </c>
      <c r="L937" s="2">
        <v>1884.4</v>
      </c>
    </row>
    <row r="938" spans="1:12" x14ac:dyDescent="0.3">
      <c r="A938" s="6">
        <f ca="1">Table1[[#This Row],[Date]]*1</f>
        <v>45586</v>
      </c>
      <c r="B938" t="s">
        <v>38</v>
      </c>
      <c r="C938" t="s">
        <v>2</v>
      </c>
      <c r="D938" t="s">
        <v>3</v>
      </c>
      <c r="E938" t="s">
        <v>40</v>
      </c>
      <c r="F938" t="s">
        <v>29</v>
      </c>
      <c r="G938" s="2">
        <v>12</v>
      </c>
      <c r="H938" s="2">
        <v>781.15</v>
      </c>
      <c r="I938" s="2">
        <v>905.01</v>
      </c>
      <c r="J938" s="2">
        <v>9373.7999999999993</v>
      </c>
      <c r="K938" s="2">
        <v>10860.12</v>
      </c>
      <c r="L938" s="2">
        <v>1486.32</v>
      </c>
    </row>
    <row r="939" spans="1:12" x14ac:dyDescent="0.3">
      <c r="A939" s="6">
        <f ca="1">Table1[[#This Row],[Date]]*1</f>
        <v>45634</v>
      </c>
      <c r="B939" t="s">
        <v>37</v>
      </c>
      <c r="C939" t="s">
        <v>6</v>
      </c>
      <c r="D939" t="s">
        <v>17</v>
      </c>
      <c r="E939" t="s">
        <v>4</v>
      </c>
      <c r="F939" t="s">
        <v>29</v>
      </c>
      <c r="G939" s="2">
        <v>40</v>
      </c>
      <c r="H939" s="2">
        <v>746.5</v>
      </c>
      <c r="I939" s="2">
        <v>1003.74</v>
      </c>
      <c r="J939" s="2">
        <v>29860</v>
      </c>
      <c r="K939" s="2">
        <v>40149.599999999999</v>
      </c>
      <c r="L939" s="2">
        <v>10289.6</v>
      </c>
    </row>
    <row r="940" spans="1:12" x14ac:dyDescent="0.3">
      <c r="A940" s="6">
        <f ca="1">Table1[[#This Row],[Date]]*1</f>
        <v>45420</v>
      </c>
      <c r="B940" t="s">
        <v>44</v>
      </c>
      <c r="C940" t="s">
        <v>8</v>
      </c>
      <c r="D940" t="s">
        <v>9</v>
      </c>
      <c r="E940" t="s">
        <v>35</v>
      </c>
      <c r="F940" t="s">
        <v>32</v>
      </c>
      <c r="G940" s="2">
        <v>21</v>
      </c>
      <c r="H940" s="2">
        <v>461.51</v>
      </c>
      <c r="I940" s="2">
        <v>644.6</v>
      </c>
      <c r="J940" s="2">
        <v>9691.7099999999991</v>
      </c>
      <c r="K940" s="2">
        <v>13536.6</v>
      </c>
      <c r="L940" s="2">
        <v>3844.89</v>
      </c>
    </row>
    <row r="941" spans="1:12" x14ac:dyDescent="0.3">
      <c r="A941" s="6">
        <f ca="1">Table1[[#This Row],[Date]]*1</f>
        <v>45644</v>
      </c>
      <c r="B941" t="s">
        <v>44</v>
      </c>
      <c r="C941" t="s">
        <v>2</v>
      </c>
      <c r="D941" t="s">
        <v>14</v>
      </c>
      <c r="E941" t="s">
        <v>31</v>
      </c>
      <c r="F941" t="s">
        <v>29</v>
      </c>
      <c r="G941" s="2">
        <v>40</v>
      </c>
      <c r="H941" s="2">
        <v>136.52000000000001</v>
      </c>
      <c r="I941" s="2">
        <v>179.38</v>
      </c>
      <c r="J941" s="2">
        <v>5460.8</v>
      </c>
      <c r="K941" s="2">
        <v>7175.2</v>
      </c>
      <c r="L941" s="2">
        <v>1714.4</v>
      </c>
    </row>
    <row r="942" spans="1:12" x14ac:dyDescent="0.3">
      <c r="A942" s="6">
        <f ca="1">Table1[[#This Row],[Date]]*1</f>
        <v>45456</v>
      </c>
      <c r="B942" t="s">
        <v>44</v>
      </c>
      <c r="C942" t="s">
        <v>11</v>
      </c>
      <c r="D942" t="s">
        <v>13</v>
      </c>
      <c r="E942" t="s">
        <v>4</v>
      </c>
      <c r="F942" t="s">
        <v>32</v>
      </c>
      <c r="G942" s="2">
        <v>32</v>
      </c>
      <c r="H942" s="2">
        <v>804.42</v>
      </c>
      <c r="I942" s="2">
        <v>888.64</v>
      </c>
      <c r="J942" s="2">
        <v>25741.439999999999</v>
      </c>
      <c r="K942" s="2">
        <v>28436.48</v>
      </c>
      <c r="L942" s="2">
        <v>2695.04</v>
      </c>
    </row>
    <row r="943" spans="1:12" x14ac:dyDescent="0.3">
      <c r="A943" s="6">
        <f ca="1">Table1[[#This Row],[Date]]*1</f>
        <v>45339</v>
      </c>
      <c r="B943" t="s">
        <v>30</v>
      </c>
      <c r="C943" t="s">
        <v>8</v>
      </c>
      <c r="D943" t="s">
        <v>16</v>
      </c>
      <c r="E943" t="s">
        <v>33</v>
      </c>
      <c r="F943" t="s">
        <v>32</v>
      </c>
      <c r="G943" s="2">
        <v>37</v>
      </c>
      <c r="H943" s="2">
        <v>499.16</v>
      </c>
      <c r="I943" s="2">
        <v>724.24</v>
      </c>
      <c r="J943" s="2">
        <v>18468.919999999998</v>
      </c>
      <c r="K943" s="2">
        <v>26796.880000000001</v>
      </c>
      <c r="L943" s="2">
        <v>8327.9599999999991</v>
      </c>
    </row>
    <row r="944" spans="1:12" x14ac:dyDescent="0.3">
      <c r="A944" s="6">
        <f ca="1">Table1[[#This Row],[Date]]*1</f>
        <v>45600</v>
      </c>
      <c r="B944" t="s">
        <v>44</v>
      </c>
      <c r="C944" t="s">
        <v>6</v>
      </c>
      <c r="D944" t="s">
        <v>7</v>
      </c>
      <c r="E944" t="s">
        <v>4</v>
      </c>
      <c r="F944" t="s">
        <v>32</v>
      </c>
      <c r="G944" s="2">
        <v>13</v>
      </c>
      <c r="H944" s="2">
        <v>706.84</v>
      </c>
      <c r="I944" s="2">
        <v>858.37</v>
      </c>
      <c r="J944" s="2">
        <v>9188.92</v>
      </c>
      <c r="K944" s="2">
        <v>11158.81</v>
      </c>
      <c r="L944" s="2">
        <v>1969.89</v>
      </c>
    </row>
    <row r="945" spans="1:12" x14ac:dyDescent="0.3">
      <c r="A945" s="6">
        <f ca="1">Table1[[#This Row],[Date]]*1</f>
        <v>45371</v>
      </c>
      <c r="B945" t="s">
        <v>44</v>
      </c>
      <c r="C945" t="s">
        <v>8</v>
      </c>
      <c r="D945" t="s">
        <v>9</v>
      </c>
      <c r="E945" t="s">
        <v>43</v>
      </c>
      <c r="F945" t="s">
        <v>29</v>
      </c>
      <c r="G945" s="2">
        <v>23</v>
      </c>
      <c r="H945" s="2">
        <v>91.16</v>
      </c>
      <c r="I945" s="2">
        <v>116.91</v>
      </c>
      <c r="J945" s="2">
        <v>2096.6799999999998</v>
      </c>
      <c r="K945" s="2">
        <v>2688.93</v>
      </c>
      <c r="L945" s="2">
        <v>592.25</v>
      </c>
    </row>
    <row r="946" spans="1:12" x14ac:dyDescent="0.3">
      <c r="A946" s="6">
        <f ca="1">Table1[[#This Row],[Date]]*1</f>
        <v>45617</v>
      </c>
      <c r="B946" t="s">
        <v>39</v>
      </c>
      <c r="C946" t="s">
        <v>6</v>
      </c>
      <c r="D946" t="s">
        <v>7</v>
      </c>
      <c r="E946" t="s">
        <v>33</v>
      </c>
      <c r="F946" t="s">
        <v>29</v>
      </c>
      <c r="G946" s="2">
        <v>40</v>
      </c>
      <c r="H946" s="2">
        <v>250.82</v>
      </c>
      <c r="I946" s="2">
        <v>307.06</v>
      </c>
      <c r="J946" s="2">
        <v>10032.799999999999</v>
      </c>
      <c r="K946" s="2">
        <v>12282.4</v>
      </c>
      <c r="L946" s="2">
        <v>2249.6</v>
      </c>
    </row>
    <row r="947" spans="1:12" x14ac:dyDescent="0.3">
      <c r="A947" s="6">
        <f ca="1">Table1[[#This Row],[Date]]*1</f>
        <v>45296</v>
      </c>
      <c r="B947" t="s">
        <v>37</v>
      </c>
      <c r="C947" t="s">
        <v>2</v>
      </c>
      <c r="D947" t="s">
        <v>14</v>
      </c>
      <c r="E947" t="s">
        <v>35</v>
      </c>
      <c r="F947" t="s">
        <v>32</v>
      </c>
      <c r="G947" s="2">
        <v>15</v>
      </c>
      <c r="H947" s="2">
        <v>513.29</v>
      </c>
      <c r="I947" s="2">
        <v>576.25</v>
      </c>
      <c r="J947" s="2">
        <v>7699.35</v>
      </c>
      <c r="K947" s="2">
        <v>8643.75</v>
      </c>
      <c r="L947" s="2">
        <v>944.4</v>
      </c>
    </row>
    <row r="948" spans="1:12" x14ac:dyDescent="0.3">
      <c r="A948" s="6">
        <f ca="1">Table1[[#This Row],[Date]]*1</f>
        <v>45519</v>
      </c>
      <c r="B948" t="s">
        <v>30</v>
      </c>
      <c r="C948" t="s">
        <v>8</v>
      </c>
      <c r="D948" t="s">
        <v>16</v>
      </c>
      <c r="E948" t="s">
        <v>40</v>
      </c>
      <c r="F948" t="s">
        <v>29</v>
      </c>
      <c r="G948" s="2">
        <v>8</v>
      </c>
      <c r="H948" s="2">
        <v>706.93</v>
      </c>
      <c r="I948" s="2">
        <v>942.84</v>
      </c>
      <c r="J948" s="2">
        <v>5655.44</v>
      </c>
      <c r="K948" s="2">
        <v>7542.72</v>
      </c>
      <c r="L948" s="2">
        <v>1887.28</v>
      </c>
    </row>
    <row r="949" spans="1:12" x14ac:dyDescent="0.3">
      <c r="A949" s="6">
        <f ca="1">Table1[[#This Row],[Date]]*1</f>
        <v>45618</v>
      </c>
      <c r="B949" t="s">
        <v>38</v>
      </c>
      <c r="C949" t="s">
        <v>11</v>
      </c>
      <c r="D949" t="s">
        <v>15</v>
      </c>
      <c r="E949" t="s">
        <v>40</v>
      </c>
      <c r="F949" t="s">
        <v>29</v>
      </c>
      <c r="G949" s="2">
        <v>33</v>
      </c>
      <c r="H949" s="2">
        <v>360.87</v>
      </c>
      <c r="I949" s="2">
        <v>526.16</v>
      </c>
      <c r="J949" s="2">
        <v>11908.71</v>
      </c>
      <c r="K949" s="2">
        <v>17363.28</v>
      </c>
      <c r="L949" s="2">
        <v>5454.57</v>
      </c>
    </row>
    <row r="950" spans="1:12" x14ac:dyDescent="0.3">
      <c r="A950" s="6">
        <f ca="1">Table1[[#This Row],[Date]]*1</f>
        <v>45357</v>
      </c>
      <c r="B950" t="s">
        <v>44</v>
      </c>
      <c r="C950" t="s">
        <v>11</v>
      </c>
      <c r="D950" t="s">
        <v>12</v>
      </c>
      <c r="E950" t="s">
        <v>4</v>
      </c>
      <c r="F950" t="s">
        <v>29</v>
      </c>
      <c r="G950" s="2">
        <v>47</v>
      </c>
      <c r="H950" s="2">
        <v>828.21</v>
      </c>
      <c r="I950" s="2">
        <v>978.52</v>
      </c>
      <c r="J950" s="2">
        <v>38925.870000000003</v>
      </c>
      <c r="K950" s="2">
        <v>45990.44</v>
      </c>
      <c r="L950" s="2">
        <v>7064.57</v>
      </c>
    </row>
    <row r="951" spans="1:12" x14ac:dyDescent="0.3">
      <c r="A951" s="6">
        <f ca="1">Table1[[#This Row],[Date]]*1</f>
        <v>45452</v>
      </c>
      <c r="B951" t="s">
        <v>39</v>
      </c>
      <c r="C951" t="s">
        <v>6</v>
      </c>
      <c r="D951" t="s">
        <v>17</v>
      </c>
      <c r="E951" t="s">
        <v>40</v>
      </c>
      <c r="F951" t="s">
        <v>32</v>
      </c>
      <c r="G951" s="2">
        <v>40</v>
      </c>
      <c r="H951" s="2">
        <v>825.71</v>
      </c>
      <c r="I951" s="2">
        <v>1044.83</v>
      </c>
      <c r="J951" s="2">
        <v>33028.400000000001</v>
      </c>
      <c r="K951" s="2">
        <v>41793.199999999997</v>
      </c>
      <c r="L951" s="2">
        <v>8764.7999999999993</v>
      </c>
    </row>
    <row r="952" spans="1:12" x14ac:dyDescent="0.3">
      <c r="A952" s="6">
        <f ca="1">Table1[[#This Row],[Date]]*1</f>
        <v>45606</v>
      </c>
      <c r="B952" t="s">
        <v>34</v>
      </c>
      <c r="C952" t="s">
        <v>2</v>
      </c>
      <c r="D952" t="s">
        <v>3</v>
      </c>
      <c r="E952" t="s">
        <v>31</v>
      </c>
      <c r="F952" t="s">
        <v>32</v>
      </c>
      <c r="G952" s="2">
        <v>50</v>
      </c>
      <c r="H952" s="2">
        <v>574.41999999999996</v>
      </c>
      <c r="I952" s="2">
        <v>686.43</v>
      </c>
      <c r="J952" s="2">
        <v>28721</v>
      </c>
      <c r="K952" s="2">
        <v>34321.5</v>
      </c>
      <c r="L952" s="2">
        <v>5600.5</v>
      </c>
    </row>
    <row r="953" spans="1:12" x14ac:dyDescent="0.3">
      <c r="A953" s="6">
        <f ca="1">Table1[[#This Row],[Date]]*1</f>
        <v>45418</v>
      </c>
      <c r="B953" t="s">
        <v>41</v>
      </c>
      <c r="C953" t="s">
        <v>2</v>
      </c>
      <c r="D953" t="s">
        <v>5</v>
      </c>
      <c r="E953" t="s">
        <v>33</v>
      </c>
      <c r="F953" t="s">
        <v>29</v>
      </c>
      <c r="G953" s="2">
        <v>40</v>
      </c>
      <c r="H953" s="2">
        <v>154.94</v>
      </c>
      <c r="I953" s="2">
        <v>225.17</v>
      </c>
      <c r="J953" s="2">
        <v>6197.6</v>
      </c>
      <c r="K953" s="2">
        <v>9006.7999999999993</v>
      </c>
      <c r="L953" s="2">
        <v>2809.2</v>
      </c>
    </row>
    <row r="954" spans="1:12" x14ac:dyDescent="0.3">
      <c r="A954" s="6">
        <f ca="1">Table1[[#This Row],[Date]]*1</f>
        <v>45638</v>
      </c>
      <c r="B954" t="s">
        <v>39</v>
      </c>
      <c r="C954" t="s">
        <v>8</v>
      </c>
      <c r="D954" t="s">
        <v>42</v>
      </c>
      <c r="E954" t="s">
        <v>43</v>
      </c>
      <c r="F954" t="s">
        <v>29</v>
      </c>
      <c r="G954" s="2">
        <v>1</v>
      </c>
      <c r="H954" s="2">
        <v>789.17</v>
      </c>
      <c r="I954" s="2">
        <v>1088.05</v>
      </c>
      <c r="J954" s="2">
        <v>789.17</v>
      </c>
      <c r="K954" s="2">
        <v>1088.05</v>
      </c>
      <c r="L954" s="2">
        <v>298.88</v>
      </c>
    </row>
    <row r="955" spans="1:12" x14ac:dyDescent="0.3">
      <c r="A955" s="6">
        <f ca="1">Table1[[#This Row],[Date]]*1</f>
        <v>45512</v>
      </c>
      <c r="B955" t="s">
        <v>37</v>
      </c>
      <c r="C955" t="s">
        <v>2</v>
      </c>
      <c r="D955" t="s">
        <v>3</v>
      </c>
      <c r="E955" t="s">
        <v>31</v>
      </c>
      <c r="F955" t="s">
        <v>29</v>
      </c>
      <c r="G955" s="2">
        <v>10</v>
      </c>
      <c r="H955" s="2">
        <v>707.73</v>
      </c>
      <c r="I955" s="2">
        <v>995.22</v>
      </c>
      <c r="J955" s="2">
        <v>7077.3</v>
      </c>
      <c r="K955" s="2">
        <v>9952.2000000000007</v>
      </c>
      <c r="L955" s="2">
        <v>2874.9</v>
      </c>
    </row>
    <row r="956" spans="1:12" x14ac:dyDescent="0.3">
      <c r="A956" s="6">
        <f ca="1">Table1[[#This Row],[Date]]*1</f>
        <v>45573</v>
      </c>
      <c r="B956" t="s">
        <v>37</v>
      </c>
      <c r="C956" t="s">
        <v>2</v>
      </c>
      <c r="D956" t="s">
        <v>5</v>
      </c>
      <c r="E956" t="s">
        <v>43</v>
      </c>
      <c r="F956" t="s">
        <v>32</v>
      </c>
      <c r="G956" s="2">
        <v>3</v>
      </c>
      <c r="H956" s="2">
        <v>415.77</v>
      </c>
      <c r="I956" s="2">
        <v>503.43</v>
      </c>
      <c r="J956" s="2">
        <v>1247.31</v>
      </c>
      <c r="K956" s="2">
        <v>1510.29</v>
      </c>
      <c r="L956" s="2">
        <v>262.98</v>
      </c>
    </row>
    <row r="957" spans="1:12" x14ac:dyDescent="0.3">
      <c r="A957" s="6">
        <f ca="1">Table1[[#This Row],[Date]]*1</f>
        <v>45488</v>
      </c>
      <c r="B957" t="s">
        <v>37</v>
      </c>
      <c r="C957" t="s">
        <v>6</v>
      </c>
      <c r="D957" t="s">
        <v>7</v>
      </c>
      <c r="E957" t="s">
        <v>33</v>
      </c>
      <c r="F957" t="s">
        <v>32</v>
      </c>
      <c r="G957" s="2">
        <v>25</v>
      </c>
      <c r="H957" s="2">
        <v>793.7</v>
      </c>
      <c r="I957" s="2">
        <v>928.87</v>
      </c>
      <c r="J957" s="2">
        <v>19842.5</v>
      </c>
      <c r="K957" s="2">
        <v>23221.75</v>
      </c>
      <c r="L957" s="2">
        <v>3379.25</v>
      </c>
    </row>
    <row r="958" spans="1:12" x14ac:dyDescent="0.3">
      <c r="A958" s="6">
        <f ca="1">Table1[[#This Row],[Date]]*1</f>
        <v>45634</v>
      </c>
      <c r="B958" t="s">
        <v>38</v>
      </c>
      <c r="C958" t="s">
        <v>8</v>
      </c>
      <c r="D958" t="s">
        <v>16</v>
      </c>
      <c r="E958" t="s">
        <v>40</v>
      </c>
      <c r="F958" t="s">
        <v>32</v>
      </c>
      <c r="G958" s="2">
        <v>33</v>
      </c>
      <c r="H958" s="2">
        <v>993.88</v>
      </c>
      <c r="I958" s="2">
        <v>1135.3399999999999</v>
      </c>
      <c r="J958" s="2">
        <v>32798.04</v>
      </c>
      <c r="K958" s="2">
        <v>37466.22</v>
      </c>
      <c r="L958" s="2">
        <v>4668.18</v>
      </c>
    </row>
    <row r="959" spans="1:12" x14ac:dyDescent="0.3">
      <c r="A959" s="6">
        <f ca="1">Table1[[#This Row],[Date]]*1</f>
        <v>45567</v>
      </c>
      <c r="B959" t="s">
        <v>36</v>
      </c>
      <c r="C959" t="s">
        <v>2</v>
      </c>
      <c r="D959" t="s">
        <v>3</v>
      </c>
      <c r="E959" t="s">
        <v>4</v>
      </c>
      <c r="F959" t="s">
        <v>32</v>
      </c>
      <c r="G959" s="2">
        <v>29</v>
      </c>
      <c r="H959" s="2">
        <v>547.11</v>
      </c>
      <c r="I959" s="2">
        <v>807.14</v>
      </c>
      <c r="J959" s="2">
        <v>15866.19</v>
      </c>
      <c r="K959" s="2">
        <v>23407.06</v>
      </c>
      <c r="L959" s="2">
        <v>7540.87</v>
      </c>
    </row>
    <row r="960" spans="1:12" x14ac:dyDescent="0.3">
      <c r="A960" s="6">
        <f ca="1">Table1[[#This Row],[Date]]*1</f>
        <v>45375</v>
      </c>
      <c r="B960" t="s">
        <v>34</v>
      </c>
      <c r="C960" t="s">
        <v>2</v>
      </c>
      <c r="D960" t="s">
        <v>3</v>
      </c>
      <c r="E960" t="s">
        <v>4</v>
      </c>
      <c r="F960" t="s">
        <v>32</v>
      </c>
      <c r="G960" s="2">
        <v>22</v>
      </c>
      <c r="H960" s="2">
        <v>588.76</v>
      </c>
      <c r="I960" s="2">
        <v>875.24</v>
      </c>
      <c r="J960" s="2">
        <v>12952.72</v>
      </c>
      <c r="K960" s="2">
        <v>19255.28</v>
      </c>
      <c r="L960" s="2">
        <v>6302.56</v>
      </c>
    </row>
    <row r="961" spans="1:12" x14ac:dyDescent="0.3">
      <c r="A961" s="6">
        <f ca="1">Table1[[#This Row],[Date]]*1</f>
        <v>45514</v>
      </c>
      <c r="B961" t="s">
        <v>34</v>
      </c>
      <c r="C961" t="s">
        <v>6</v>
      </c>
      <c r="D961" t="s">
        <v>17</v>
      </c>
      <c r="E961" t="s">
        <v>4</v>
      </c>
      <c r="F961" t="s">
        <v>29</v>
      </c>
      <c r="G961" s="2">
        <v>37</v>
      </c>
      <c r="H961" s="2">
        <v>707.62</v>
      </c>
      <c r="I961" s="2">
        <v>892.91</v>
      </c>
      <c r="J961" s="2">
        <v>26181.94</v>
      </c>
      <c r="K961" s="2">
        <v>33037.67</v>
      </c>
      <c r="L961" s="2">
        <v>6855.73</v>
      </c>
    </row>
    <row r="962" spans="1:12" x14ac:dyDescent="0.3">
      <c r="A962" s="6">
        <f ca="1">Table1[[#This Row],[Date]]*1</f>
        <v>45329</v>
      </c>
      <c r="B962" t="s">
        <v>37</v>
      </c>
      <c r="C962" t="s">
        <v>8</v>
      </c>
      <c r="D962" t="s">
        <v>16</v>
      </c>
      <c r="E962" t="s">
        <v>33</v>
      </c>
      <c r="F962" t="s">
        <v>29</v>
      </c>
      <c r="G962" s="2">
        <v>27</v>
      </c>
      <c r="H962" s="2">
        <v>226.7</v>
      </c>
      <c r="I962" s="2">
        <v>296.33999999999997</v>
      </c>
      <c r="J962" s="2">
        <v>6120.9</v>
      </c>
      <c r="K962" s="2">
        <v>8001.18</v>
      </c>
      <c r="L962" s="2">
        <v>1880.28</v>
      </c>
    </row>
    <row r="963" spans="1:12" x14ac:dyDescent="0.3">
      <c r="A963" s="6">
        <f ca="1">Table1[[#This Row],[Date]]*1</f>
        <v>45540</v>
      </c>
      <c r="B963" t="s">
        <v>41</v>
      </c>
      <c r="C963" t="s">
        <v>8</v>
      </c>
      <c r="D963" t="s">
        <v>9</v>
      </c>
      <c r="E963" t="s">
        <v>35</v>
      </c>
      <c r="F963" t="s">
        <v>32</v>
      </c>
      <c r="G963" s="2">
        <v>38</v>
      </c>
      <c r="H963" s="2">
        <v>145.16</v>
      </c>
      <c r="I963" s="2">
        <v>194.27</v>
      </c>
      <c r="J963" s="2">
        <v>5516.08</v>
      </c>
      <c r="K963" s="2">
        <v>7382.26</v>
      </c>
      <c r="L963" s="2">
        <v>1866.18</v>
      </c>
    </row>
    <row r="964" spans="1:12" x14ac:dyDescent="0.3">
      <c r="A964" s="6">
        <f ca="1">Table1[[#This Row],[Date]]*1</f>
        <v>45508</v>
      </c>
      <c r="B964" t="s">
        <v>45</v>
      </c>
      <c r="C964" t="s">
        <v>8</v>
      </c>
      <c r="D964" t="s">
        <v>42</v>
      </c>
      <c r="E964" t="s">
        <v>4</v>
      </c>
      <c r="F964" t="s">
        <v>29</v>
      </c>
      <c r="G964" s="2">
        <v>50</v>
      </c>
      <c r="H964" s="2">
        <v>243.4</v>
      </c>
      <c r="I964" s="2">
        <v>288.08</v>
      </c>
      <c r="J964" s="2">
        <v>12170</v>
      </c>
      <c r="K964" s="2">
        <v>14404</v>
      </c>
      <c r="L964" s="2">
        <v>2234</v>
      </c>
    </row>
    <row r="965" spans="1:12" x14ac:dyDescent="0.3">
      <c r="A965" s="6">
        <f ca="1">Table1[[#This Row],[Date]]*1</f>
        <v>45596</v>
      </c>
      <c r="B965" t="s">
        <v>39</v>
      </c>
      <c r="C965" t="s">
        <v>11</v>
      </c>
      <c r="D965" t="s">
        <v>15</v>
      </c>
      <c r="E965" t="s">
        <v>4</v>
      </c>
      <c r="F965" t="s">
        <v>29</v>
      </c>
      <c r="G965" s="2">
        <v>10</v>
      </c>
      <c r="H965" s="2">
        <v>861.21</v>
      </c>
      <c r="I965" s="2">
        <v>1241.25</v>
      </c>
      <c r="J965" s="2">
        <v>8612.1</v>
      </c>
      <c r="K965" s="2">
        <v>12412.5</v>
      </c>
      <c r="L965" s="2">
        <v>3800.4</v>
      </c>
    </row>
    <row r="966" spans="1:12" x14ac:dyDescent="0.3">
      <c r="A966" s="6">
        <f ca="1">Table1[[#This Row],[Date]]*1</f>
        <v>45507</v>
      </c>
      <c r="B966" t="s">
        <v>38</v>
      </c>
      <c r="C966" t="s">
        <v>11</v>
      </c>
      <c r="D966" t="s">
        <v>12</v>
      </c>
      <c r="E966" t="s">
        <v>31</v>
      </c>
      <c r="F966" t="s">
        <v>29</v>
      </c>
      <c r="G966" s="2">
        <v>6</v>
      </c>
      <c r="H966" s="2">
        <v>306.01</v>
      </c>
      <c r="I966" s="2">
        <v>348.03</v>
      </c>
      <c r="J966" s="2">
        <v>1836.06</v>
      </c>
      <c r="K966" s="2">
        <v>2088.1799999999998</v>
      </c>
      <c r="L966" s="2">
        <v>252.12</v>
      </c>
    </row>
    <row r="967" spans="1:12" x14ac:dyDescent="0.3">
      <c r="A967" s="6">
        <f ca="1">Table1[[#This Row],[Date]]*1</f>
        <v>45550</v>
      </c>
      <c r="B967" t="s">
        <v>41</v>
      </c>
      <c r="C967" t="s">
        <v>2</v>
      </c>
      <c r="D967" t="s">
        <v>14</v>
      </c>
      <c r="E967" t="s">
        <v>35</v>
      </c>
      <c r="F967" t="s">
        <v>29</v>
      </c>
      <c r="G967" s="2">
        <v>9</v>
      </c>
      <c r="H967" s="2">
        <v>567.48</v>
      </c>
      <c r="I967" s="2">
        <v>688.93</v>
      </c>
      <c r="J967" s="2">
        <v>5107.32</v>
      </c>
      <c r="K967" s="2">
        <v>6200.37</v>
      </c>
      <c r="L967" s="2">
        <v>1093.05</v>
      </c>
    </row>
    <row r="968" spans="1:12" x14ac:dyDescent="0.3">
      <c r="A968" s="6">
        <f ca="1">Table1[[#This Row],[Date]]*1</f>
        <v>45474</v>
      </c>
      <c r="B968" t="s">
        <v>41</v>
      </c>
      <c r="C968" t="s">
        <v>6</v>
      </c>
      <c r="D968" t="s">
        <v>7</v>
      </c>
      <c r="E968" t="s">
        <v>35</v>
      </c>
      <c r="F968" t="s">
        <v>29</v>
      </c>
      <c r="G968" s="2">
        <v>19</v>
      </c>
      <c r="H968" s="2">
        <v>83.14</v>
      </c>
      <c r="I968" s="2">
        <v>113.36</v>
      </c>
      <c r="J968" s="2">
        <v>1579.66</v>
      </c>
      <c r="K968" s="2">
        <v>2153.84</v>
      </c>
      <c r="L968" s="2">
        <v>574.17999999999995</v>
      </c>
    </row>
    <row r="969" spans="1:12" x14ac:dyDescent="0.3">
      <c r="A969" s="6">
        <f ca="1">Table1[[#This Row],[Date]]*1</f>
        <v>45472</v>
      </c>
      <c r="B969" t="s">
        <v>45</v>
      </c>
      <c r="C969" t="s">
        <v>2</v>
      </c>
      <c r="D969" t="s">
        <v>5</v>
      </c>
      <c r="E969" t="s">
        <v>40</v>
      </c>
      <c r="F969" t="s">
        <v>32</v>
      </c>
      <c r="G969" s="2">
        <v>11</v>
      </c>
      <c r="H969" s="2">
        <v>523.38</v>
      </c>
      <c r="I969" s="2">
        <v>705.13</v>
      </c>
      <c r="J969" s="2">
        <v>5757.18</v>
      </c>
      <c r="K969" s="2">
        <v>7756.43</v>
      </c>
      <c r="L969" s="2">
        <v>1999.25</v>
      </c>
    </row>
    <row r="970" spans="1:12" x14ac:dyDescent="0.3">
      <c r="A970" s="6">
        <f ca="1">Table1[[#This Row],[Date]]*1</f>
        <v>45444</v>
      </c>
      <c r="B970" t="s">
        <v>39</v>
      </c>
      <c r="C970" t="s">
        <v>8</v>
      </c>
      <c r="D970" t="s">
        <v>42</v>
      </c>
      <c r="E970" t="s">
        <v>4</v>
      </c>
      <c r="F970" t="s">
        <v>32</v>
      </c>
      <c r="G970" s="2">
        <v>35</v>
      </c>
      <c r="H970" s="2">
        <v>165.6</v>
      </c>
      <c r="I970" s="2">
        <v>189.94</v>
      </c>
      <c r="J970" s="2">
        <v>5796</v>
      </c>
      <c r="K970" s="2">
        <v>6647.9</v>
      </c>
      <c r="L970" s="2">
        <v>851.9</v>
      </c>
    </row>
    <row r="971" spans="1:12" x14ac:dyDescent="0.3">
      <c r="A971" s="6">
        <f ca="1">Table1[[#This Row],[Date]]*1</f>
        <v>45465</v>
      </c>
      <c r="B971" t="s">
        <v>41</v>
      </c>
      <c r="C971" t="s">
        <v>11</v>
      </c>
      <c r="D971" t="s">
        <v>12</v>
      </c>
      <c r="E971" t="s">
        <v>43</v>
      </c>
      <c r="F971" t="s">
        <v>32</v>
      </c>
      <c r="G971" s="2">
        <v>43</v>
      </c>
      <c r="H971" s="2">
        <v>363.6</v>
      </c>
      <c r="I971" s="2">
        <v>513.91999999999996</v>
      </c>
      <c r="J971" s="2">
        <v>15634.8</v>
      </c>
      <c r="K971" s="2">
        <v>22098.560000000001</v>
      </c>
      <c r="L971" s="2">
        <v>6463.76</v>
      </c>
    </row>
    <row r="972" spans="1:12" x14ac:dyDescent="0.3">
      <c r="A972" s="6">
        <f ca="1">Table1[[#This Row],[Date]]*1</f>
        <v>45419</v>
      </c>
      <c r="B972" t="s">
        <v>44</v>
      </c>
      <c r="C972" t="s">
        <v>6</v>
      </c>
      <c r="D972" t="s">
        <v>10</v>
      </c>
      <c r="E972" t="s">
        <v>35</v>
      </c>
      <c r="F972" t="s">
        <v>29</v>
      </c>
      <c r="G972" s="2">
        <v>43</v>
      </c>
      <c r="H972" s="2">
        <v>355.28</v>
      </c>
      <c r="I972" s="2">
        <v>417.67</v>
      </c>
      <c r="J972" s="2">
        <v>15277.04</v>
      </c>
      <c r="K972" s="2">
        <v>17959.810000000001</v>
      </c>
      <c r="L972" s="2">
        <v>2682.77</v>
      </c>
    </row>
    <row r="973" spans="1:12" x14ac:dyDescent="0.3">
      <c r="A973" s="6">
        <f ca="1">Table1[[#This Row],[Date]]*1</f>
        <v>45562</v>
      </c>
      <c r="B973" t="s">
        <v>39</v>
      </c>
      <c r="C973" t="s">
        <v>6</v>
      </c>
      <c r="D973" t="s">
        <v>10</v>
      </c>
      <c r="E973" t="s">
        <v>35</v>
      </c>
      <c r="F973" t="s">
        <v>29</v>
      </c>
      <c r="G973" s="2">
        <v>19</v>
      </c>
      <c r="H973" s="2">
        <v>75.11</v>
      </c>
      <c r="I973" s="2">
        <v>88.67</v>
      </c>
      <c r="J973" s="2">
        <v>1427.09</v>
      </c>
      <c r="K973" s="2">
        <v>1684.73</v>
      </c>
      <c r="L973" s="2">
        <v>257.64</v>
      </c>
    </row>
    <row r="974" spans="1:12" x14ac:dyDescent="0.3">
      <c r="A974" s="6">
        <f ca="1">Table1[[#This Row],[Date]]*1</f>
        <v>45612</v>
      </c>
      <c r="B974" t="s">
        <v>44</v>
      </c>
      <c r="C974" t="s">
        <v>6</v>
      </c>
      <c r="D974" t="s">
        <v>17</v>
      </c>
      <c r="E974" t="s">
        <v>31</v>
      </c>
      <c r="F974" t="s">
        <v>32</v>
      </c>
      <c r="G974" s="2">
        <v>12</v>
      </c>
      <c r="H974" s="2">
        <v>585.5</v>
      </c>
      <c r="I974" s="2">
        <v>705.73</v>
      </c>
      <c r="J974" s="2">
        <v>7026</v>
      </c>
      <c r="K974" s="2">
        <v>8468.76</v>
      </c>
      <c r="L974" s="2">
        <v>1442.76</v>
      </c>
    </row>
    <row r="975" spans="1:12" x14ac:dyDescent="0.3">
      <c r="A975" s="6">
        <f ca="1">Table1[[#This Row],[Date]]*1</f>
        <v>45557</v>
      </c>
      <c r="B975" t="s">
        <v>30</v>
      </c>
      <c r="C975" t="s">
        <v>8</v>
      </c>
      <c r="D975" t="s">
        <v>42</v>
      </c>
      <c r="E975" t="s">
        <v>35</v>
      </c>
      <c r="F975" t="s">
        <v>32</v>
      </c>
      <c r="G975" s="2">
        <v>35</v>
      </c>
      <c r="H975" s="2">
        <v>836.98</v>
      </c>
      <c r="I975" s="2">
        <v>1050.68</v>
      </c>
      <c r="J975" s="2">
        <v>29294.3</v>
      </c>
      <c r="K975" s="2">
        <v>36773.800000000003</v>
      </c>
      <c r="L975" s="2">
        <v>7479.5</v>
      </c>
    </row>
    <row r="976" spans="1:12" x14ac:dyDescent="0.3">
      <c r="A976" s="6">
        <f ca="1">Table1[[#This Row],[Date]]*1</f>
        <v>45433</v>
      </c>
      <c r="B976" t="s">
        <v>38</v>
      </c>
      <c r="C976" t="s">
        <v>8</v>
      </c>
      <c r="D976" t="s">
        <v>42</v>
      </c>
      <c r="E976" t="s">
        <v>40</v>
      </c>
      <c r="F976" t="s">
        <v>32</v>
      </c>
      <c r="G976" s="2">
        <v>37</v>
      </c>
      <c r="H976" s="2">
        <v>656.07</v>
      </c>
      <c r="I976" s="2">
        <v>822.88</v>
      </c>
      <c r="J976" s="2">
        <v>24274.59</v>
      </c>
      <c r="K976" s="2">
        <v>30446.560000000001</v>
      </c>
      <c r="L976" s="2">
        <v>6171.97</v>
      </c>
    </row>
    <row r="977" spans="1:12" x14ac:dyDescent="0.3">
      <c r="A977" s="6">
        <f ca="1">Table1[[#This Row],[Date]]*1</f>
        <v>45368</v>
      </c>
      <c r="B977" t="s">
        <v>37</v>
      </c>
      <c r="C977" t="s">
        <v>6</v>
      </c>
      <c r="D977" t="s">
        <v>7</v>
      </c>
      <c r="E977" t="s">
        <v>4</v>
      </c>
      <c r="F977" t="s">
        <v>29</v>
      </c>
      <c r="G977" s="2">
        <v>8</v>
      </c>
      <c r="H977" s="2">
        <v>445.78</v>
      </c>
      <c r="I977" s="2">
        <v>620.03</v>
      </c>
      <c r="J977" s="2">
        <v>3566.24</v>
      </c>
      <c r="K977" s="2">
        <v>4960.24</v>
      </c>
      <c r="L977" s="2">
        <v>1394</v>
      </c>
    </row>
    <row r="978" spans="1:12" x14ac:dyDescent="0.3">
      <c r="A978" s="6">
        <f ca="1">Table1[[#This Row],[Date]]*1</f>
        <v>45408</v>
      </c>
      <c r="B978" t="s">
        <v>28</v>
      </c>
      <c r="C978" t="s">
        <v>11</v>
      </c>
      <c r="D978" t="s">
        <v>15</v>
      </c>
      <c r="E978" t="s">
        <v>33</v>
      </c>
      <c r="F978" t="s">
        <v>29</v>
      </c>
      <c r="G978" s="2">
        <v>33</v>
      </c>
      <c r="H978" s="2">
        <v>610.64</v>
      </c>
      <c r="I978" s="2">
        <v>759.32</v>
      </c>
      <c r="J978" s="2">
        <v>20151.12</v>
      </c>
      <c r="K978" s="2">
        <v>25057.56</v>
      </c>
      <c r="L978" s="2">
        <v>4906.4399999999996</v>
      </c>
    </row>
    <row r="979" spans="1:12" x14ac:dyDescent="0.3">
      <c r="A979" s="6">
        <f ca="1">Table1[[#This Row],[Date]]*1</f>
        <v>45527</v>
      </c>
      <c r="B979" t="s">
        <v>39</v>
      </c>
      <c r="C979" t="s">
        <v>6</v>
      </c>
      <c r="D979" t="s">
        <v>7</v>
      </c>
      <c r="E979" t="s">
        <v>33</v>
      </c>
      <c r="F979" t="s">
        <v>32</v>
      </c>
      <c r="G979" s="2">
        <v>8</v>
      </c>
      <c r="H979" s="2">
        <v>817.1</v>
      </c>
      <c r="I979" s="2">
        <v>1067.5899999999999</v>
      </c>
      <c r="J979" s="2">
        <v>6536.8</v>
      </c>
      <c r="K979" s="2">
        <v>8540.7199999999993</v>
      </c>
      <c r="L979" s="2">
        <v>2003.92</v>
      </c>
    </row>
    <row r="980" spans="1:12" x14ac:dyDescent="0.3">
      <c r="A980" s="6">
        <f ca="1">Table1[[#This Row],[Date]]*1</f>
        <v>45543</v>
      </c>
      <c r="B980" t="s">
        <v>36</v>
      </c>
      <c r="C980" t="s">
        <v>8</v>
      </c>
      <c r="D980" t="s">
        <v>42</v>
      </c>
      <c r="E980" t="s">
        <v>33</v>
      </c>
      <c r="F980" t="s">
        <v>29</v>
      </c>
      <c r="G980" s="2">
        <v>33</v>
      </c>
      <c r="H980" s="2">
        <v>240.81</v>
      </c>
      <c r="I980" s="2">
        <v>326.86</v>
      </c>
      <c r="J980" s="2">
        <v>7946.73</v>
      </c>
      <c r="K980" s="2">
        <v>10786.38</v>
      </c>
      <c r="L980" s="2">
        <v>2839.65</v>
      </c>
    </row>
    <row r="981" spans="1:12" x14ac:dyDescent="0.3">
      <c r="A981" s="6">
        <f ca="1">Table1[[#This Row],[Date]]*1</f>
        <v>45591</v>
      </c>
      <c r="B981" t="s">
        <v>45</v>
      </c>
      <c r="C981" t="s">
        <v>2</v>
      </c>
      <c r="D981" t="s">
        <v>5</v>
      </c>
      <c r="E981" t="s">
        <v>33</v>
      </c>
      <c r="F981" t="s">
        <v>32</v>
      </c>
      <c r="G981" s="2">
        <v>23</v>
      </c>
      <c r="H981" s="2">
        <v>428.71</v>
      </c>
      <c r="I981" s="2">
        <v>544.49</v>
      </c>
      <c r="J981" s="2">
        <v>9860.33</v>
      </c>
      <c r="K981" s="2">
        <v>12523.27</v>
      </c>
      <c r="L981" s="2">
        <v>2662.94</v>
      </c>
    </row>
    <row r="982" spans="1:12" x14ac:dyDescent="0.3">
      <c r="A982" s="6">
        <f ca="1">Table1[[#This Row],[Date]]*1</f>
        <v>45298</v>
      </c>
      <c r="B982" t="s">
        <v>28</v>
      </c>
      <c r="C982" t="s">
        <v>2</v>
      </c>
      <c r="D982" t="s">
        <v>3</v>
      </c>
      <c r="E982" t="s">
        <v>40</v>
      </c>
      <c r="F982" t="s">
        <v>29</v>
      </c>
      <c r="G982" s="2">
        <v>40</v>
      </c>
      <c r="H982" s="2">
        <v>729.77</v>
      </c>
      <c r="I982" s="2">
        <v>1089.94</v>
      </c>
      <c r="J982" s="2">
        <v>29190.799999999999</v>
      </c>
      <c r="K982" s="2">
        <v>43597.599999999999</v>
      </c>
      <c r="L982" s="2">
        <v>14406.8</v>
      </c>
    </row>
    <row r="983" spans="1:12" x14ac:dyDescent="0.3">
      <c r="A983" s="6">
        <f ca="1">Table1[[#This Row],[Date]]*1</f>
        <v>45439</v>
      </c>
      <c r="B983" t="s">
        <v>39</v>
      </c>
      <c r="C983" t="s">
        <v>11</v>
      </c>
      <c r="D983" t="s">
        <v>12</v>
      </c>
      <c r="E983" t="s">
        <v>40</v>
      </c>
      <c r="F983" t="s">
        <v>32</v>
      </c>
      <c r="G983" s="2">
        <v>23</v>
      </c>
      <c r="H983" s="2">
        <v>76.569999999999993</v>
      </c>
      <c r="I983" s="2">
        <v>84.94</v>
      </c>
      <c r="J983" s="2">
        <v>1761.11</v>
      </c>
      <c r="K983" s="2">
        <v>1953.62</v>
      </c>
      <c r="L983" s="2">
        <v>192.51</v>
      </c>
    </row>
    <row r="984" spans="1:12" x14ac:dyDescent="0.3">
      <c r="A984" s="6">
        <f ca="1">Table1[[#This Row],[Date]]*1</f>
        <v>45513</v>
      </c>
      <c r="B984" t="s">
        <v>39</v>
      </c>
      <c r="C984" t="s">
        <v>8</v>
      </c>
      <c r="D984" t="s">
        <v>9</v>
      </c>
      <c r="E984" t="s">
        <v>43</v>
      </c>
      <c r="F984" t="s">
        <v>29</v>
      </c>
      <c r="G984" s="2">
        <v>5</v>
      </c>
      <c r="H984" s="2">
        <v>279.72000000000003</v>
      </c>
      <c r="I984" s="2">
        <v>319.88</v>
      </c>
      <c r="J984" s="2">
        <v>1398.6</v>
      </c>
      <c r="K984" s="2">
        <v>1599.4</v>
      </c>
      <c r="L984" s="2">
        <v>200.8</v>
      </c>
    </row>
    <row r="985" spans="1:12" x14ac:dyDescent="0.3">
      <c r="A985" s="6">
        <f ca="1">Table1[[#This Row],[Date]]*1</f>
        <v>45622</v>
      </c>
      <c r="B985" t="s">
        <v>41</v>
      </c>
      <c r="C985" t="s">
        <v>6</v>
      </c>
      <c r="D985" t="s">
        <v>10</v>
      </c>
      <c r="E985" t="s">
        <v>40</v>
      </c>
      <c r="F985" t="s">
        <v>32</v>
      </c>
      <c r="G985" s="2">
        <v>13</v>
      </c>
      <c r="H985" s="2">
        <v>793.72</v>
      </c>
      <c r="I985" s="2">
        <v>1024.47</v>
      </c>
      <c r="J985" s="2">
        <v>10318.36</v>
      </c>
      <c r="K985" s="2">
        <v>13318.11</v>
      </c>
      <c r="L985" s="2">
        <v>2999.75</v>
      </c>
    </row>
    <row r="986" spans="1:12" x14ac:dyDescent="0.3">
      <c r="A986" s="6">
        <f ca="1">Table1[[#This Row],[Date]]*1</f>
        <v>45596</v>
      </c>
      <c r="B986" t="s">
        <v>38</v>
      </c>
      <c r="C986" t="s">
        <v>6</v>
      </c>
      <c r="D986" t="s">
        <v>17</v>
      </c>
      <c r="E986" t="s">
        <v>31</v>
      </c>
      <c r="F986" t="s">
        <v>32</v>
      </c>
      <c r="G986" s="2">
        <v>43</v>
      </c>
      <c r="H986" s="2">
        <v>178.83</v>
      </c>
      <c r="I986" s="2">
        <v>245.15</v>
      </c>
      <c r="J986" s="2">
        <v>7689.69</v>
      </c>
      <c r="K986" s="2">
        <v>10541.45</v>
      </c>
      <c r="L986" s="2">
        <v>2851.76</v>
      </c>
    </row>
    <row r="987" spans="1:12" x14ac:dyDescent="0.3">
      <c r="A987" s="6">
        <f ca="1">Table1[[#This Row],[Date]]*1</f>
        <v>45632</v>
      </c>
      <c r="B987" t="s">
        <v>37</v>
      </c>
      <c r="C987" t="s">
        <v>11</v>
      </c>
      <c r="D987" t="s">
        <v>15</v>
      </c>
      <c r="E987" t="s">
        <v>40</v>
      </c>
      <c r="F987" t="s">
        <v>32</v>
      </c>
      <c r="G987" s="2">
        <v>20</v>
      </c>
      <c r="H987" s="2">
        <v>727.22</v>
      </c>
      <c r="I987" s="2">
        <v>938.96</v>
      </c>
      <c r="J987" s="2">
        <v>14544.4</v>
      </c>
      <c r="K987" s="2">
        <v>18779.2</v>
      </c>
      <c r="L987" s="2">
        <v>4234.8</v>
      </c>
    </row>
    <row r="988" spans="1:12" x14ac:dyDescent="0.3">
      <c r="A988" s="6">
        <f ca="1">Table1[[#This Row],[Date]]*1</f>
        <v>45369</v>
      </c>
      <c r="B988" t="s">
        <v>36</v>
      </c>
      <c r="C988" t="s">
        <v>6</v>
      </c>
      <c r="D988" t="s">
        <v>7</v>
      </c>
      <c r="E988" t="s">
        <v>43</v>
      </c>
      <c r="F988" t="s">
        <v>29</v>
      </c>
      <c r="G988" s="2">
        <v>29</v>
      </c>
      <c r="H988" s="2">
        <v>147.4</v>
      </c>
      <c r="I988" s="2">
        <v>173.88</v>
      </c>
      <c r="J988" s="2">
        <v>4274.6000000000004</v>
      </c>
      <c r="K988" s="2">
        <v>5042.5200000000004</v>
      </c>
      <c r="L988" s="2">
        <v>767.92</v>
      </c>
    </row>
    <row r="989" spans="1:12" x14ac:dyDescent="0.3">
      <c r="A989" s="6">
        <f ca="1">Table1[[#This Row],[Date]]*1</f>
        <v>45489</v>
      </c>
      <c r="B989" t="s">
        <v>41</v>
      </c>
      <c r="C989" t="s">
        <v>2</v>
      </c>
      <c r="D989" t="s">
        <v>3</v>
      </c>
      <c r="E989" t="s">
        <v>35</v>
      </c>
      <c r="F989" t="s">
        <v>32</v>
      </c>
      <c r="G989" s="2">
        <v>6</v>
      </c>
      <c r="H989" s="2">
        <v>613.78</v>
      </c>
      <c r="I989" s="2">
        <v>711.08</v>
      </c>
      <c r="J989" s="2">
        <v>3682.68</v>
      </c>
      <c r="K989" s="2">
        <v>4266.4799999999996</v>
      </c>
      <c r="L989" s="2">
        <v>583.79999999999995</v>
      </c>
    </row>
    <row r="990" spans="1:12" x14ac:dyDescent="0.3">
      <c r="A990" s="6">
        <f ca="1">Table1[[#This Row],[Date]]*1</f>
        <v>45377</v>
      </c>
      <c r="B990" t="s">
        <v>28</v>
      </c>
      <c r="C990" t="s">
        <v>11</v>
      </c>
      <c r="D990" t="s">
        <v>13</v>
      </c>
      <c r="E990" t="s">
        <v>43</v>
      </c>
      <c r="F990" t="s">
        <v>29</v>
      </c>
      <c r="G990" s="2">
        <v>40</v>
      </c>
      <c r="H990" s="2">
        <v>814.04</v>
      </c>
      <c r="I990" s="2">
        <v>1173.19</v>
      </c>
      <c r="J990" s="2">
        <v>32561.599999999999</v>
      </c>
      <c r="K990" s="2">
        <v>46927.6</v>
      </c>
      <c r="L990" s="2">
        <v>14366</v>
      </c>
    </row>
    <row r="991" spans="1:12" x14ac:dyDescent="0.3">
      <c r="A991" s="6">
        <f ca="1">Table1[[#This Row],[Date]]*1</f>
        <v>45466</v>
      </c>
      <c r="B991" t="s">
        <v>36</v>
      </c>
      <c r="C991" t="s">
        <v>6</v>
      </c>
      <c r="D991" t="s">
        <v>17</v>
      </c>
      <c r="E991" t="s">
        <v>31</v>
      </c>
      <c r="F991" t="s">
        <v>32</v>
      </c>
      <c r="G991" s="2">
        <v>35</v>
      </c>
      <c r="H991" s="2">
        <v>202.73</v>
      </c>
      <c r="I991" s="2">
        <v>284.99</v>
      </c>
      <c r="J991" s="2">
        <v>7095.55</v>
      </c>
      <c r="K991" s="2">
        <v>9974.65</v>
      </c>
      <c r="L991" s="2">
        <v>2879.1</v>
      </c>
    </row>
    <row r="992" spans="1:12" x14ac:dyDescent="0.3">
      <c r="A992" s="6">
        <f ca="1">Table1[[#This Row],[Date]]*1</f>
        <v>45306</v>
      </c>
      <c r="B992" t="s">
        <v>44</v>
      </c>
      <c r="C992" t="s">
        <v>6</v>
      </c>
      <c r="D992" t="s">
        <v>10</v>
      </c>
      <c r="E992" t="s">
        <v>4</v>
      </c>
      <c r="F992" t="s">
        <v>32</v>
      </c>
      <c r="G992" s="2">
        <v>24</v>
      </c>
      <c r="H992" s="2">
        <v>388.81</v>
      </c>
      <c r="I992" s="2">
        <v>513.99</v>
      </c>
      <c r="J992" s="2">
        <v>9331.44</v>
      </c>
      <c r="K992" s="2">
        <v>12335.76</v>
      </c>
      <c r="L992" s="2">
        <v>3004.32</v>
      </c>
    </row>
    <row r="993" spans="1:12" x14ac:dyDescent="0.3">
      <c r="A993" s="6">
        <f ca="1">Table1[[#This Row],[Date]]*1</f>
        <v>45594</v>
      </c>
      <c r="B993" t="s">
        <v>41</v>
      </c>
      <c r="C993" t="s">
        <v>2</v>
      </c>
      <c r="D993" t="s">
        <v>14</v>
      </c>
      <c r="E993" t="s">
        <v>4</v>
      </c>
      <c r="F993" t="s">
        <v>32</v>
      </c>
      <c r="G993" s="2">
        <v>32</v>
      </c>
      <c r="H993" s="2">
        <v>850.66</v>
      </c>
      <c r="I993" s="2">
        <v>1253.8399999999999</v>
      </c>
      <c r="J993" s="2">
        <v>27221.119999999999</v>
      </c>
      <c r="K993" s="2">
        <v>40122.879999999997</v>
      </c>
      <c r="L993" s="2">
        <v>12901.76</v>
      </c>
    </row>
    <row r="994" spans="1:12" x14ac:dyDescent="0.3">
      <c r="A994" s="6">
        <f ca="1">Table1[[#This Row],[Date]]*1</f>
        <v>45355</v>
      </c>
      <c r="B994" t="s">
        <v>30</v>
      </c>
      <c r="C994" t="s">
        <v>11</v>
      </c>
      <c r="D994" t="s">
        <v>12</v>
      </c>
      <c r="E994" t="s">
        <v>4</v>
      </c>
      <c r="F994" t="s">
        <v>29</v>
      </c>
      <c r="G994" s="2">
        <v>49</v>
      </c>
      <c r="H994" s="2">
        <v>456.67</v>
      </c>
      <c r="I994" s="2">
        <v>649.59</v>
      </c>
      <c r="J994" s="2">
        <v>22376.83</v>
      </c>
      <c r="K994" s="2">
        <v>31829.91</v>
      </c>
      <c r="L994" s="2">
        <v>9453.08</v>
      </c>
    </row>
    <row r="995" spans="1:12" x14ac:dyDescent="0.3">
      <c r="A995" s="6">
        <f ca="1">Table1[[#This Row],[Date]]*1</f>
        <v>45507</v>
      </c>
      <c r="B995" t="s">
        <v>41</v>
      </c>
      <c r="C995" t="s">
        <v>2</v>
      </c>
      <c r="D995" t="s">
        <v>3</v>
      </c>
      <c r="E995" t="s">
        <v>40</v>
      </c>
      <c r="F995" t="s">
        <v>32</v>
      </c>
      <c r="G995" s="2">
        <v>13</v>
      </c>
      <c r="H995" s="2">
        <v>546.69000000000005</v>
      </c>
      <c r="I995" s="2">
        <v>781.69</v>
      </c>
      <c r="J995" s="2">
        <v>7106.97</v>
      </c>
      <c r="K995" s="2">
        <v>10161.969999999999</v>
      </c>
      <c r="L995" s="2">
        <v>3055</v>
      </c>
    </row>
    <row r="996" spans="1:12" x14ac:dyDescent="0.3">
      <c r="A996" s="6">
        <f ca="1">Table1[[#This Row],[Date]]*1</f>
        <v>45457</v>
      </c>
      <c r="B996" t="s">
        <v>37</v>
      </c>
      <c r="C996" t="s">
        <v>6</v>
      </c>
      <c r="D996" t="s">
        <v>7</v>
      </c>
      <c r="E996" t="s">
        <v>4</v>
      </c>
      <c r="F996" t="s">
        <v>29</v>
      </c>
      <c r="G996" s="2">
        <v>14</v>
      </c>
      <c r="H996" s="2">
        <v>665.27</v>
      </c>
      <c r="I996" s="2">
        <v>768.32</v>
      </c>
      <c r="J996" s="2">
        <v>9313.7800000000007</v>
      </c>
      <c r="K996" s="2">
        <v>10756.48</v>
      </c>
      <c r="L996" s="2">
        <v>1442.7</v>
      </c>
    </row>
    <row r="997" spans="1:12" x14ac:dyDescent="0.3">
      <c r="A997" s="6">
        <f ca="1">Table1[[#This Row],[Date]]*1</f>
        <v>45549</v>
      </c>
      <c r="B997" t="s">
        <v>30</v>
      </c>
      <c r="C997" t="s">
        <v>11</v>
      </c>
      <c r="D997" t="s">
        <v>15</v>
      </c>
      <c r="E997" t="s">
        <v>33</v>
      </c>
      <c r="F997" t="s">
        <v>29</v>
      </c>
      <c r="G997" s="2">
        <v>13</v>
      </c>
      <c r="H997" s="2">
        <v>605.26</v>
      </c>
      <c r="I997" s="2">
        <v>763.08</v>
      </c>
      <c r="J997" s="2">
        <v>7868.38</v>
      </c>
      <c r="K997" s="2">
        <v>9920.0400000000009</v>
      </c>
      <c r="L997" s="2">
        <v>2051.66</v>
      </c>
    </row>
    <row r="998" spans="1:12" x14ac:dyDescent="0.3">
      <c r="A998" s="6">
        <f ca="1">Table1[[#This Row],[Date]]*1</f>
        <v>45507</v>
      </c>
      <c r="B998" t="s">
        <v>30</v>
      </c>
      <c r="C998" t="s">
        <v>6</v>
      </c>
      <c r="D998" t="s">
        <v>10</v>
      </c>
      <c r="E998" t="s">
        <v>33</v>
      </c>
      <c r="F998" t="s">
        <v>32</v>
      </c>
      <c r="G998" s="2">
        <v>23</v>
      </c>
      <c r="H998" s="2">
        <v>430.07</v>
      </c>
      <c r="I998" s="2">
        <v>562.17999999999995</v>
      </c>
      <c r="J998" s="2">
        <v>9891.61</v>
      </c>
      <c r="K998" s="2">
        <v>12930.14</v>
      </c>
      <c r="L998" s="2">
        <v>3038.53</v>
      </c>
    </row>
    <row r="999" spans="1:12" x14ac:dyDescent="0.3">
      <c r="A999" s="6">
        <f ca="1">Table1[[#This Row],[Date]]*1</f>
        <v>45462</v>
      </c>
      <c r="B999" t="s">
        <v>44</v>
      </c>
      <c r="C999" t="s">
        <v>8</v>
      </c>
      <c r="D999" t="s">
        <v>9</v>
      </c>
      <c r="E999" t="s">
        <v>35</v>
      </c>
      <c r="F999" t="s">
        <v>32</v>
      </c>
      <c r="G999" s="2">
        <v>15</v>
      </c>
      <c r="H999" s="2">
        <v>944.83</v>
      </c>
      <c r="I999" s="2">
        <v>1050.49</v>
      </c>
      <c r="J999" s="2">
        <v>14172.45</v>
      </c>
      <c r="K999" s="2">
        <v>15757.35</v>
      </c>
      <c r="L999" s="2">
        <v>1584.9</v>
      </c>
    </row>
    <row r="1000" spans="1:12" x14ac:dyDescent="0.3">
      <c r="A1000" s="6">
        <f ca="1">Table1[[#This Row],[Date]]*1</f>
        <v>45465</v>
      </c>
      <c r="B1000" t="s">
        <v>44</v>
      </c>
      <c r="C1000" t="s">
        <v>8</v>
      </c>
      <c r="D1000" t="s">
        <v>42</v>
      </c>
      <c r="E1000" t="s">
        <v>33</v>
      </c>
      <c r="F1000" t="s">
        <v>32</v>
      </c>
      <c r="G1000" s="2">
        <v>21</v>
      </c>
      <c r="H1000" s="2">
        <v>606.41999999999996</v>
      </c>
      <c r="I1000" s="2">
        <v>828.34</v>
      </c>
      <c r="J1000" s="2">
        <v>12734.82</v>
      </c>
      <c r="K1000" s="2">
        <v>17395.14</v>
      </c>
      <c r="L1000" s="2">
        <v>4660.32</v>
      </c>
    </row>
    <row r="1001" spans="1:12" x14ac:dyDescent="0.3">
      <c r="A1001" s="6">
        <f ca="1">Table1[[#This Row],[Date]]*1</f>
        <v>45486</v>
      </c>
      <c r="B1001" t="s">
        <v>34</v>
      </c>
      <c r="C1001" t="s">
        <v>8</v>
      </c>
      <c r="D1001" t="s">
        <v>16</v>
      </c>
      <c r="E1001" t="s">
        <v>4</v>
      </c>
      <c r="F1001" t="s">
        <v>32</v>
      </c>
      <c r="G1001" s="2">
        <v>30</v>
      </c>
      <c r="H1001" s="2">
        <v>167.61</v>
      </c>
      <c r="I1001" s="2">
        <v>227.27</v>
      </c>
      <c r="J1001" s="2">
        <v>5028.3</v>
      </c>
      <c r="K1001" s="2">
        <v>6818.1</v>
      </c>
      <c r="L1001" s="2">
        <v>1789.8</v>
      </c>
    </row>
    <row r="1002" spans="1:12" x14ac:dyDescent="0.3">
      <c r="A1002" s="6">
        <f ca="1">Table1[[#This Row],[Date]]*1</f>
        <v>45551</v>
      </c>
      <c r="B1002" t="s">
        <v>44</v>
      </c>
      <c r="C1002" t="s">
        <v>11</v>
      </c>
      <c r="D1002" t="s">
        <v>12</v>
      </c>
      <c r="E1002" t="s">
        <v>43</v>
      </c>
      <c r="F1002" t="s">
        <v>32</v>
      </c>
      <c r="G1002" s="2">
        <v>28</v>
      </c>
      <c r="H1002" s="2">
        <v>541.55999999999995</v>
      </c>
      <c r="I1002" s="2">
        <v>791.7</v>
      </c>
      <c r="J1002" s="2">
        <v>15163.68</v>
      </c>
      <c r="K1002" s="2">
        <v>22167.599999999999</v>
      </c>
      <c r="L1002" s="2">
        <v>7003.92</v>
      </c>
    </row>
    <row r="1003" spans="1:12" x14ac:dyDescent="0.3">
      <c r="A1003" s="6">
        <f ca="1">Table1[[#This Row],[Date]]*1</f>
        <v>45573</v>
      </c>
      <c r="B1003" t="s">
        <v>34</v>
      </c>
      <c r="C1003" t="s">
        <v>8</v>
      </c>
      <c r="D1003" t="s">
        <v>16</v>
      </c>
      <c r="E1003" t="s">
        <v>43</v>
      </c>
      <c r="F1003" t="s">
        <v>29</v>
      </c>
      <c r="G1003" s="2">
        <v>1</v>
      </c>
      <c r="H1003" s="2">
        <v>253.54</v>
      </c>
      <c r="I1003" s="2">
        <v>285.26</v>
      </c>
      <c r="J1003" s="2">
        <v>253.54</v>
      </c>
      <c r="K1003" s="2">
        <v>285.26</v>
      </c>
      <c r="L1003" s="2">
        <v>31.72</v>
      </c>
    </row>
    <row r="1004" spans="1:12" x14ac:dyDescent="0.3">
      <c r="A1004" s="6">
        <f ca="1">Table1[[#This Row],[Date]]*1</f>
        <v>45292</v>
      </c>
      <c r="B1004" t="s">
        <v>38</v>
      </c>
      <c r="C1004" t="s">
        <v>6</v>
      </c>
      <c r="D1004" t="s">
        <v>7</v>
      </c>
      <c r="E1004" t="s">
        <v>33</v>
      </c>
      <c r="F1004" t="s">
        <v>29</v>
      </c>
      <c r="G1004" s="2">
        <v>36</v>
      </c>
      <c r="H1004" s="2">
        <v>640.30999999999995</v>
      </c>
      <c r="I1004" s="2">
        <v>727.6</v>
      </c>
      <c r="J1004" s="2">
        <v>23051.16</v>
      </c>
      <c r="K1004" s="2">
        <v>26193.599999999999</v>
      </c>
      <c r="L1004" s="2">
        <v>3142.44</v>
      </c>
    </row>
    <row r="1005" spans="1:12" x14ac:dyDescent="0.3">
      <c r="A1005" s="6">
        <f ca="1">Table1[[#This Row],[Date]]*1</f>
        <v>45386</v>
      </c>
      <c r="B1005" t="s">
        <v>28</v>
      </c>
      <c r="C1005" t="s">
        <v>6</v>
      </c>
      <c r="D1005" t="s">
        <v>10</v>
      </c>
      <c r="E1005" t="s">
        <v>31</v>
      </c>
      <c r="F1005" t="s">
        <v>32</v>
      </c>
      <c r="G1005" s="2">
        <v>29</v>
      </c>
      <c r="H1005" s="2">
        <v>144.53</v>
      </c>
      <c r="I1005" s="2">
        <v>183.18</v>
      </c>
      <c r="J1005" s="2">
        <v>4191.37</v>
      </c>
      <c r="K1005" s="2">
        <v>5312.22</v>
      </c>
      <c r="L1005" s="2">
        <v>1120.8499999999999</v>
      </c>
    </row>
    <row r="1006" spans="1:12" x14ac:dyDescent="0.3">
      <c r="A1006" s="6">
        <f ca="1">Table1[[#This Row],[Date]]*1</f>
        <v>45521</v>
      </c>
      <c r="B1006" t="s">
        <v>39</v>
      </c>
      <c r="C1006" t="s">
        <v>11</v>
      </c>
      <c r="D1006" t="s">
        <v>13</v>
      </c>
      <c r="E1006" t="s">
        <v>4</v>
      </c>
      <c r="F1006" t="s">
        <v>32</v>
      </c>
      <c r="G1006" s="2">
        <v>41</v>
      </c>
      <c r="H1006" s="2">
        <v>619.41999999999996</v>
      </c>
      <c r="I1006" s="2">
        <v>875.35</v>
      </c>
      <c r="J1006" s="2">
        <v>25396.22</v>
      </c>
      <c r="K1006" s="2">
        <v>35889.35</v>
      </c>
      <c r="L1006" s="2">
        <v>10493.13</v>
      </c>
    </row>
    <row r="1007" spans="1:12" x14ac:dyDescent="0.3">
      <c r="A1007" s="6">
        <f ca="1">Table1[[#This Row],[Date]]*1</f>
        <v>45611</v>
      </c>
      <c r="B1007" t="s">
        <v>37</v>
      </c>
      <c r="C1007" t="s">
        <v>11</v>
      </c>
      <c r="D1007" t="s">
        <v>15</v>
      </c>
      <c r="E1007" t="s">
        <v>4</v>
      </c>
      <c r="F1007" t="s">
        <v>32</v>
      </c>
      <c r="G1007" s="2">
        <v>7</v>
      </c>
      <c r="H1007" s="2">
        <v>603.22</v>
      </c>
      <c r="I1007" s="2">
        <v>718.3</v>
      </c>
      <c r="J1007" s="2">
        <v>4222.54</v>
      </c>
      <c r="K1007" s="2">
        <v>5028.1000000000004</v>
      </c>
      <c r="L1007" s="2">
        <v>805.56</v>
      </c>
    </row>
    <row r="1008" spans="1:12" x14ac:dyDescent="0.3">
      <c r="A1008" s="6">
        <f ca="1">Table1[[#This Row],[Date]]*1</f>
        <v>45568</v>
      </c>
      <c r="B1008" t="s">
        <v>44</v>
      </c>
      <c r="C1008" t="s">
        <v>11</v>
      </c>
      <c r="D1008" t="s">
        <v>15</v>
      </c>
      <c r="E1008" t="s">
        <v>4</v>
      </c>
      <c r="F1008" t="s">
        <v>29</v>
      </c>
      <c r="G1008" s="2">
        <v>21</v>
      </c>
      <c r="H1008" s="2">
        <v>73.260000000000005</v>
      </c>
      <c r="I1008" s="2">
        <v>102.68</v>
      </c>
      <c r="J1008" s="2">
        <v>1538.46</v>
      </c>
      <c r="K1008" s="2">
        <v>2156.2800000000002</v>
      </c>
      <c r="L1008" s="2">
        <v>617.82000000000005</v>
      </c>
    </row>
    <row r="1009" spans="1:12" x14ac:dyDescent="0.3">
      <c r="A1009" s="6">
        <f ca="1">Table1[[#This Row],[Date]]*1</f>
        <v>45609</v>
      </c>
      <c r="B1009" t="s">
        <v>37</v>
      </c>
      <c r="C1009" t="s">
        <v>11</v>
      </c>
      <c r="D1009" t="s">
        <v>13</v>
      </c>
      <c r="E1009" t="s">
        <v>33</v>
      </c>
      <c r="F1009" t="s">
        <v>29</v>
      </c>
      <c r="G1009" s="2">
        <v>48</v>
      </c>
      <c r="H1009" s="2">
        <v>325.98</v>
      </c>
      <c r="I1009" s="2">
        <v>456.37</v>
      </c>
      <c r="J1009" s="2">
        <v>15647.04</v>
      </c>
      <c r="K1009" s="2">
        <v>21905.759999999998</v>
      </c>
      <c r="L1009" s="2">
        <v>6258.72</v>
      </c>
    </row>
    <row r="1010" spans="1:12" x14ac:dyDescent="0.3">
      <c r="A1010" s="6">
        <f ca="1">Table1[[#This Row],[Date]]*1</f>
        <v>45369</v>
      </c>
      <c r="B1010" t="s">
        <v>45</v>
      </c>
      <c r="C1010" t="s">
        <v>8</v>
      </c>
      <c r="D1010" t="s">
        <v>9</v>
      </c>
      <c r="E1010" t="s">
        <v>31</v>
      </c>
      <c r="F1010" t="s">
        <v>32</v>
      </c>
      <c r="G1010" s="2">
        <v>16</v>
      </c>
      <c r="H1010" s="2">
        <v>781.97</v>
      </c>
      <c r="I1010" s="2">
        <v>1099.21</v>
      </c>
      <c r="J1010" s="2">
        <v>12511.52</v>
      </c>
      <c r="K1010" s="2">
        <v>17587.36</v>
      </c>
      <c r="L1010" s="2">
        <v>5075.84</v>
      </c>
    </row>
    <row r="1011" spans="1:12" x14ac:dyDescent="0.3">
      <c r="A1011" s="6">
        <f ca="1">Table1[[#This Row],[Date]]*1</f>
        <v>45401</v>
      </c>
      <c r="B1011" t="s">
        <v>28</v>
      </c>
      <c r="C1011" t="s">
        <v>8</v>
      </c>
      <c r="D1011" t="s">
        <v>16</v>
      </c>
      <c r="E1011" t="s">
        <v>40</v>
      </c>
      <c r="F1011" t="s">
        <v>32</v>
      </c>
      <c r="G1011" s="2">
        <v>43</v>
      </c>
      <c r="H1011" s="2">
        <v>103.52</v>
      </c>
      <c r="I1011" s="2">
        <v>115.03</v>
      </c>
      <c r="J1011" s="2">
        <v>4451.3599999999997</v>
      </c>
      <c r="K1011" s="2">
        <v>4946.29</v>
      </c>
      <c r="L1011" s="2">
        <v>494.93</v>
      </c>
    </row>
    <row r="1012" spans="1:12" x14ac:dyDescent="0.3">
      <c r="A1012" s="6">
        <f ca="1">Table1[[#This Row],[Date]]*1</f>
        <v>45540</v>
      </c>
      <c r="B1012" t="s">
        <v>44</v>
      </c>
      <c r="C1012" t="s">
        <v>8</v>
      </c>
      <c r="D1012" t="s">
        <v>16</v>
      </c>
      <c r="E1012" t="s">
        <v>35</v>
      </c>
      <c r="F1012" t="s">
        <v>29</v>
      </c>
      <c r="G1012" s="2">
        <v>19</v>
      </c>
      <c r="H1012" s="2">
        <v>772.98</v>
      </c>
      <c r="I1012" s="2">
        <v>1047.22</v>
      </c>
      <c r="J1012" s="2">
        <v>14686.62</v>
      </c>
      <c r="K1012" s="2">
        <v>19897.18</v>
      </c>
      <c r="L1012" s="2">
        <v>5210.5600000000004</v>
      </c>
    </row>
    <row r="1013" spans="1:12" x14ac:dyDescent="0.3">
      <c r="A1013" s="6">
        <f ca="1">Table1[[#This Row],[Date]]*1</f>
        <v>45492</v>
      </c>
      <c r="B1013" t="s">
        <v>30</v>
      </c>
      <c r="C1013" t="s">
        <v>6</v>
      </c>
      <c r="D1013" t="s">
        <v>10</v>
      </c>
      <c r="E1013" t="s">
        <v>35</v>
      </c>
      <c r="F1013" t="s">
        <v>32</v>
      </c>
      <c r="G1013" s="2">
        <v>24</v>
      </c>
      <c r="H1013" s="2">
        <v>509.54</v>
      </c>
      <c r="I1013" s="2">
        <v>657.29</v>
      </c>
      <c r="J1013" s="2">
        <v>12228.96</v>
      </c>
      <c r="K1013" s="2">
        <v>15774.96</v>
      </c>
      <c r="L1013" s="2">
        <v>3546</v>
      </c>
    </row>
    <row r="1014" spans="1:12" x14ac:dyDescent="0.3">
      <c r="A1014" s="6">
        <f ca="1">Table1[[#This Row],[Date]]*1</f>
        <v>45417</v>
      </c>
      <c r="B1014" t="s">
        <v>44</v>
      </c>
      <c r="C1014" t="s">
        <v>6</v>
      </c>
      <c r="D1014" t="s">
        <v>10</v>
      </c>
      <c r="E1014" t="s">
        <v>35</v>
      </c>
      <c r="F1014" t="s">
        <v>29</v>
      </c>
      <c r="G1014" s="2">
        <v>37</v>
      </c>
      <c r="H1014" s="2">
        <v>235.71</v>
      </c>
      <c r="I1014" s="2">
        <v>288.11</v>
      </c>
      <c r="J1014" s="2">
        <v>8721.27</v>
      </c>
      <c r="K1014" s="2">
        <v>10660.07</v>
      </c>
      <c r="L1014" s="2">
        <v>1938.8</v>
      </c>
    </row>
    <row r="1015" spans="1:12" x14ac:dyDescent="0.3">
      <c r="A1015" s="6">
        <f ca="1">Table1[[#This Row],[Date]]*1</f>
        <v>45346</v>
      </c>
      <c r="B1015" t="s">
        <v>30</v>
      </c>
      <c r="C1015" t="s">
        <v>2</v>
      </c>
      <c r="D1015" t="s">
        <v>14</v>
      </c>
      <c r="E1015" t="s">
        <v>43</v>
      </c>
      <c r="F1015" t="s">
        <v>29</v>
      </c>
      <c r="G1015" s="2">
        <v>45</v>
      </c>
      <c r="H1015" s="2">
        <v>480.93</v>
      </c>
      <c r="I1015" s="2">
        <v>669.85</v>
      </c>
      <c r="J1015" s="2">
        <v>21641.85</v>
      </c>
      <c r="K1015" s="2">
        <v>30143.25</v>
      </c>
      <c r="L1015" s="2">
        <v>8501.4</v>
      </c>
    </row>
    <row r="1016" spans="1:12" x14ac:dyDescent="0.3">
      <c r="A1016" s="6">
        <f ca="1">Table1[[#This Row],[Date]]*1</f>
        <v>45332</v>
      </c>
      <c r="B1016" t="s">
        <v>36</v>
      </c>
      <c r="C1016" t="s">
        <v>6</v>
      </c>
      <c r="D1016" t="s">
        <v>17</v>
      </c>
      <c r="E1016" t="s">
        <v>4</v>
      </c>
      <c r="F1016" t="s">
        <v>29</v>
      </c>
      <c r="G1016" s="2">
        <v>33</v>
      </c>
      <c r="H1016" s="2">
        <v>529.22</v>
      </c>
      <c r="I1016" s="2">
        <v>678.43</v>
      </c>
      <c r="J1016" s="2">
        <v>17464.259999999998</v>
      </c>
      <c r="K1016" s="2">
        <v>22388.19</v>
      </c>
      <c r="L1016" s="2">
        <v>4923.93</v>
      </c>
    </row>
    <row r="1017" spans="1:12" x14ac:dyDescent="0.3">
      <c r="A1017" s="6">
        <f ca="1">Table1[[#This Row],[Date]]*1</f>
        <v>45533</v>
      </c>
      <c r="B1017" t="s">
        <v>30</v>
      </c>
      <c r="C1017" t="s">
        <v>11</v>
      </c>
      <c r="D1017" t="s">
        <v>13</v>
      </c>
      <c r="E1017" t="s">
        <v>43</v>
      </c>
      <c r="F1017" t="s">
        <v>32</v>
      </c>
      <c r="G1017" s="2">
        <v>50</v>
      </c>
      <c r="H1017" s="2">
        <v>820.3</v>
      </c>
      <c r="I1017" s="2">
        <v>1165.52</v>
      </c>
      <c r="J1017" s="2">
        <v>41015</v>
      </c>
      <c r="K1017" s="2">
        <v>58276</v>
      </c>
      <c r="L1017" s="2">
        <v>17261</v>
      </c>
    </row>
    <row r="1018" spans="1:12" x14ac:dyDescent="0.3">
      <c r="A1018" s="6">
        <f ca="1">Table1[[#This Row],[Date]]*1</f>
        <v>45384</v>
      </c>
      <c r="B1018" t="s">
        <v>39</v>
      </c>
      <c r="C1018" t="s">
        <v>6</v>
      </c>
      <c r="D1018" t="s">
        <v>10</v>
      </c>
      <c r="E1018" t="s">
        <v>31</v>
      </c>
      <c r="F1018" t="s">
        <v>32</v>
      </c>
      <c r="G1018" s="2">
        <v>50</v>
      </c>
      <c r="H1018" s="2">
        <v>263.52999999999997</v>
      </c>
      <c r="I1018" s="2">
        <v>300.56</v>
      </c>
      <c r="J1018" s="2">
        <v>13176.5</v>
      </c>
      <c r="K1018" s="2">
        <v>15028</v>
      </c>
      <c r="L1018" s="2">
        <v>1851.5</v>
      </c>
    </row>
    <row r="1019" spans="1:12" x14ac:dyDescent="0.3">
      <c r="A1019" s="6">
        <f ca="1">Table1[[#This Row],[Date]]*1</f>
        <v>45324</v>
      </c>
      <c r="B1019" t="s">
        <v>36</v>
      </c>
      <c r="C1019" t="s">
        <v>11</v>
      </c>
      <c r="D1019" t="s">
        <v>12</v>
      </c>
      <c r="E1019" t="s">
        <v>40</v>
      </c>
      <c r="F1019" t="s">
        <v>32</v>
      </c>
      <c r="G1019" s="2">
        <v>40</v>
      </c>
      <c r="H1019" s="2">
        <v>884.58</v>
      </c>
      <c r="I1019" s="2">
        <v>1118.6300000000001</v>
      </c>
      <c r="J1019" s="2">
        <v>35383.199999999997</v>
      </c>
      <c r="K1019" s="2">
        <v>44745.2</v>
      </c>
      <c r="L1019" s="2">
        <v>9362</v>
      </c>
    </row>
    <row r="1020" spans="1:12" x14ac:dyDescent="0.3">
      <c r="A1020" s="6">
        <f ca="1">Table1[[#This Row],[Date]]*1</f>
        <v>45601</v>
      </c>
      <c r="B1020" t="s">
        <v>36</v>
      </c>
      <c r="C1020" t="s">
        <v>6</v>
      </c>
      <c r="D1020" t="s">
        <v>17</v>
      </c>
      <c r="E1020" t="s">
        <v>43</v>
      </c>
      <c r="F1020" t="s">
        <v>32</v>
      </c>
      <c r="G1020" s="2">
        <v>27</v>
      </c>
      <c r="H1020" s="2">
        <v>300.56</v>
      </c>
      <c r="I1020" s="2">
        <v>379.21</v>
      </c>
      <c r="J1020" s="2">
        <v>8115.12</v>
      </c>
      <c r="K1020" s="2">
        <v>10238.67</v>
      </c>
      <c r="L1020" s="2">
        <v>2123.5500000000002</v>
      </c>
    </row>
    <row r="1021" spans="1:12" x14ac:dyDescent="0.3">
      <c r="A1021" s="6">
        <f ca="1">Table1[[#This Row],[Date]]*1</f>
        <v>45302</v>
      </c>
      <c r="B1021" t="s">
        <v>44</v>
      </c>
      <c r="C1021" t="s">
        <v>11</v>
      </c>
      <c r="D1021" t="s">
        <v>13</v>
      </c>
      <c r="E1021" t="s">
        <v>43</v>
      </c>
      <c r="F1021" t="s">
        <v>29</v>
      </c>
      <c r="G1021" s="2">
        <v>16</v>
      </c>
      <c r="H1021" s="2">
        <v>318.57</v>
      </c>
      <c r="I1021" s="2">
        <v>379.33</v>
      </c>
      <c r="J1021" s="2">
        <v>5097.12</v>
      </c>
      <c r="K1021" s="2">
        <v>6069.28</v>
      </c>
      <c r="L1021" s="2">
        <v>972.16</v>
      </c>
    </row>
    <row r="1022" spans="1:12" x14ac:dyDescent="0.3">
      <c r="A1022" s="6">
        <f ca="1">Table1[[#This Row],[Date]]*1</f>
        <v>45641</v>
      </c>
      <c r="B1022" t="s">
        <v>41</v>
      </c>
      <c r="C1022" t="s">
        <v>6</v>
      </c>
      <c r="D1022" t="s">
        <v>7</v>
      </c>
      <c r="E1022" t="s">
        <v>43</v>
      </c>
      <c r="F1022" t="s">
        <v>32</v>
      </c>
      <c r="G1022" s="2">
        <v>28</v>
      </c>
      <c r="H1022" s="2">
        <v>646.98</v>
      </c>
      <c r="I1022" s="2">
        <v>784.8</v>
      </c>
      <c r="J1022" s="2">
        <v>18115.439999999999</v>
      </c>
      <c r="K1022" s="2">
        <v>21974.400000000001</v>
      </c>
      <c r="L1022" s="2">
        <v>3858.96</v>
      </c>
    </row>
    <row r="1023" spans="1:12" x14ac:dyDescent="0.3">
      <c r="A1023" s="6">
        <f ca="1">Table1[[#This Row],[Date]]*1</f>
        <v>45635</v>
      </c>
      <c r="B1023" t="s">
        <v>44</v>
      </c>
      <c r="C1023" t="s">
        <v>6</v>
      </c>
      <c r="D1023" t="s">
        <v>10</v>
      </c>
      <c r="E1023" t="s">
        <v>4</v>
      </c>
      <c r="F1023" t="s">
        <v>29</v>
      </c>
      <c r="G1023" s="2">
        <v>37</v>
      </c>
      <c r="H1023" s="2">
        <v>75.069999999999993</v>
      </c>
      <c r="I1023" s="2">
        <v>104.06</v>
      </c>
      <c r="J1023" s="2">
        <v>2777.59</v>
      </c>
      <c r="K1023" s="2">
        <v>3850.22</v>
      </c>
      <c r="L1023" s="2">
        <v>1072.6300000000001</v>
      </c>
    </row>
    <row r="1024" spans="1:12" x14ac:dyDescent="0.3">
      <c r="A1024" s="6">
        <f ca="1">Table1[[#This Row],[Date]]*1</f>
        <v>45329</v>
      </c>
      <c r="B1024" t="s">
        <v>39</v>
      </c>
      <c r="C1024" t="s">
        <v>6</v>
      </c>
      <c r="D1024" t="s">
        <v>7</v>
      </c>
      <c r="E1024" t="s">
        <v>40</v>
      </c>
      <c r="F1024" t="s">
        <v>32</v>
      </c>
      <c r="G1024" s="2">
        <v>37</v>
      </c>
      <c r="H1024" s="2">
        <v>226.63</v>
      </c>
      <c r="I1024" s="2">
        <v>323.18</v>
      </c>
      <c r="J1024" s="2">
        <v>8385.31</v>
      </c>
      <c r="K1024" s="2">
        <v>11957.66</v>
      </c>
      <c r="L1024" s="2">
        <v>3572.35</v>
      </c>
    </row>
    <row r="1025" spans="1:12" x14ac:dyDescent="0.3">
      <c r="A1025" s="6">
        <f ca="1">Table1[[#This Row],[Date]]*1</f>
        <v>45629</v>
      </c>
      <c r="B1025" t="s">
        <v>30</v>
      </c>
      <c r="C1025" t="s">
        <v>8</v>
      </c>
      <c r="D1025" t="s">
        <v>16</v>
      </c>
      <c r="E1025" t="s">
        <v>31</v>
      </c>
      <c r="F1025" t="s">
        <v>32</v>
      </c>
      <c r="G1025" s="2">
        <v>32</v>
      </c>
      <c r="H1025" s="2">
        <v>226.54</v>
      </c>
      <c r="I1025" s="2">
        <v>317.74</v>
      </c>
      <c r="J1025" s="2">
        <v>7249.28</v>
      </c>
      <c r="K1025" s="2">
        <v>10167.68</v>
      </c>
      <c r="L1025" s="2">
        <v>2918.4</v>
      </c>
    </row>
    <row r="1026" spans="1:12" x14ac:dyDescent="0.3">
      <c r="A1026" s="6">
        <f ca="1">Table1[[#This Row],[Date]]*1</f>
        <v>45430</v>
      </c>
      <c r="B1026" t="s">
        <v>28</v>
      </c>
      <c r="C1026" t="s">
        <v>6</v>
      </c>
      <c r="D1026" t="s">
        <v>7</v>
      </c>
      <c r="E1026" t="s">
        <v>33</v>
      </c>
      <c r="F1026" t="s">
        <v>32</v>
      </c>
      <c r="G1026" s="2">
        <v>25</v>
      </c>
      <c r="H1026" s="2">
        <v>704.77</v>
      </c>
      <c r="I1026" s="2">
        <v>839.91</v>
      </c>
      <c r="J1026" s="2">
        <v>17619.25</v>
      </c>
      <c r="K1026" s="2">
        <v>20997.75</v>
      </c>
      <c r="L1026" s="2">
        <v>3378.5</v>
      </c>
    </row>
    <row r="1027" spans="1:12" x14ac:dyDescent="0.3">
      <c r="A1027" s="6">
        <f ca="1">Table1[[#This Row],[Date]]*1</f>
        <v>45547</v>
      </c>
      <c r="B1027" t="s">
        <v>37</v>
      </c>
      <c r="C1027" t="s">
        <v>6</v>
      </c>
      <c r="D1027" t="s">
        <v>10</v>
      </c>
      <c r="E1027" t="s">
        <v>31</v>
      </c>
      <c r="F1027" t="s">
        <v>32</v>
      </c>
      <c r="G1027" s="2">
        <v>24</v>
      </c>
      <c r="H1027" s="2">
        <v>730.72</v>
      </c>
      <c r="I1027" s="2">
        <v>1064.47</v>
      </c>
      <c r="J1027" s="2">
        <v>17537.28</v>
      </c>
      <c r="K1027" s="2">
        <v>25547.279999999999</v>
      </c>
      <c r="L1027" s="2">
        <v>8010</v>
      </c>
    </row>
    <row r="1028" spans="1:12" x14ac:dyDescent="0.3">
      <c r="A1028" s="6">
        <f ca="1">Table1[[#This Row],[Date]]*1</f>
        <v>45458</v>
      </c>
      <c r="B1028" t="s">
        <v>37</v>
      </c>
      <c r="C1028" t="s">
        <v>11</v>
      </c>
      <c r="D1028" t="s">
        <v>12</v>
      </c>
      <c r="E1028" t="s">
        <v>33</v>
      </c>
      <c r="F1028" t="s">
        <v>32</v>
      </c>
      <c r="G1028" s="2">
        <v>20</v>
      </c>
      <c r="H1028" s="2">
        <v>562.79</v>
      </c>
      <c r="I1028" s="2">
        <v>695.96</v>
      </c>
      <c r="J1028" s="2">
        <v>11255.8</v>
      </c>
      <c r="K1028" s="2">
        <v>13919.2</v>
      </c>
      <c r="L1028" s="2">
        <v>2663.4</v>
      </c>
    </row>
    <row r="1029" spans="1:12" x14ac:dyDescent="0.3">
      <c r="A1029" s="6">
        <f ca="1">Table1[[#This Row],[Date]]*1</f>
        <v>45331</v>
      </c>
      <c r="B1029" t="s">
        <v>44</v>
      </c>
      <c r="C1029" t="s">
        <v>11</v>
      </c>
      <c r="D1029" t="s">
        <v>15</v>
      </c>
      <c r="E1029" t="s">
        <v>4</v>
      </c>
      <c r="F1029" t="s">
        <v>29</v>
      </c>
      <c r="G1029" s="2">
        <v>8</v>
      </c>
      <c r="H1029" s="2">
        <v>733.21</v>
      </c>
      <c r="I1029" s="2">
        <v>845.43</v>
      </c>
      <c r="J1029" s="2">
        <v>5865.68</v>
      </c>
      <c r="K1029" s="2">
        <v>6763.44</v>
      </c>
      <c r="L1029" s="2">
        <v>897.76</v>
      </c>
    </row>
    <row r="1030" spans="1:12" x14ac:dyDescent="0.3">
      <c r="A1030" s="6">
        <f ca="1">Table1[[#This Row],[Date]]*1</f>
        <v>45345</v>
      </c>
      <c r="B1030" t="s">
        <v>39</v>
      </c>
      <c r="C1030" t="s">
        <v>2</v>
      </c>
      <c r="D1030" t="s">
        <v>5</v>
      </c>
      <c r="E1030" t="s">
        <v>31</v>
      </c>
      <c r="F1030" t="s">
        <v>29</v>
      </c>
      <c r="G1030" s="2">
        <v>21</v>
      </c>
      <c r="H1030" s="2">
        <v>726.57</v>
      </c>
      <c r="I1030" s="2">
        <v>824.33</v>
      </c>
      <c r="J1030" s="2">
        <v>15257.97</v>
      </c>
      <c r="K1030" s="2">
        <v>17310.93</v>
      </c>
      <c r="L1030" s="2">
        <v>2052.96</v>
      </c>
    </row>
    <row r="1031" spans="1:12" x14ac:dyDescent="0.3">
      <c r="A1031" s="6">
        <f ca="1">Table1[[#This Row],[Date]]*1</f>
        <v>45561</v>
      </c>
      <c r="B1031" t="s">
        <v>37</v>
      </c>
      <c r="C1031" t="s">
        <v>6</v>
      </c>
      <c r="D1031" t="s">
        <v>17</v>
      </c>
      <c r="E1031" t="s">
        <v>4</v>
      </c>
      <c r="F1031" t="s">
        <v>32</v>
      </c>
      <c r="G1031" s="2">
        <v>36</v>
      </c>
      <c r="H1031" s="2">
        <v>814.13</v>
      </c>
      <c r="I1031" s="2">
        <v>1077.6300000000001</v>
      </c>
      <c r="J1031" s="2">
        <v>29308.68</v>
      </c>
      <c r="K1031" s="2">
        <v>38794.68</v>
      </c>
      <c r="L1031" s="2">
        <v>9486</v>
      </c>
    </row>
    <row r="1032" spans="1:12" x14ac:dyDescent="0.3">
      <c r="A1032" s="6">
        <f ca="1">Table1[[#This Row],[Date]]*1</f>
        <v>45354</v>
      </c>
      <c r="B1032" t="s">
        <v>30</v>
      </c>
      <c r="C1032" t="s">
        <v>11</v>
      </c>
      <c r="D1032" t="s">
        <v>12</v>
      </c>
      <c r="E1032" t="s">
        <v>43</v>
      </c>
      <c r="F1032" t="s">
        <v>32</v>
      </c>
      <c r="G1032" s="2">
        <v>45</v>
      </c>
      <c r="H1032" s="2">
        <v>294.74</v>
      </c>
      <c r="I1032" s="2">
        <v>349.21</v>
      </c>
      <c r="J1032" s="2">
        <v>13263.3</v>
      </c>
      <c r="K1032" s="2">
        <v>15714.45</v>
      </c>
      <c r="L1032" s="2">
        <v>2451.15</v>
      </c>
    </row>
    <row r="1033" spans="1:12" x14ac:dyDescent="0.3">
      <c r="A1033" s="6">
        <f ca="1">Table1[[#This Row],[Date]]*1</f>
        <v>45650</v>
      </c>
      <c r="B1033" t="s">
        <v>30</v>
      </c>
      <c r="C1033" t="s">
        <v>6</v>
      </c>
      <c r="D1033" t="s">
        <v>17</v>
      </c>
      <c r="E1033" t="s">
        <v>43</v>
      </c>
      <c r="F1033" t="s">
        <v>29</v>
      </c>
      <c r="G1033" s="2">
        <v>16</v>
      </c>
      <c r="H1033" s="2">
        <v>59.84</v>
      </c>
      <c r="I1033" s="2">
        <v>72.010000000000005</v>
      </c>
      <c r="J1033" s="2">
        <v>957.44</v>
      </c>
      <c r="K1033" s="2">
        <v>1152.1600000000001</v>
      </c>
      <c r="L1033" s="2">
        <v>194.72</v>
      </c>
    </row>
    <row r="1034" spans="1:12" x14ac:dyDescent="0.3">
      <c r="A1034" s="6">
        <f ca="1">Table1[[#This Row],[Date]]*1</f>
        <v>45567</v>
      </c>
      <c r="B1034" t="s">
        <v>41</v>
      </c>
      <c r="C1034" t="s">
        <v>2</v>
      </c>
      <c r="D1034" t="s">
        <v>5</v>
      </c>
      <c r="E1034" t="s">
        <v>40</v>
      </c>
      <c r="F1034" t="s">
        <v>32</v>
      </c>
      <c r="G1034" s="2">
        <v>30</v>
      </c>
      <c r="H1034" s="2">
        <v>895.12</v>
      </c>
      <c r="I1034" s="2">
        <v>1147.93</v>
      </c>
      <c r="J1034" s="2">
        <v>26853.599999999999</v>
      </c>
      <c r="K1034" s="2">
        <v>34437.9</v>
      </c>
      <c r="L1034" s="2">
        <v>7584.3</v>
      </c>
    </row>
    <row r="1035" spans="1:12" x14ac:dyDescent="0.3">
      <c r="A1035" s="6">
        <f ca="1">Table1[[#This Row],[Date]]*1</f>
        <v>45456</v>
      </c>
      <c r="B1035" t="s">
        <v>41</v>
      </c>
      <c r="C1035" t="s">
        <v>2</v>
      </c>
      <c r="D1035" t="s">
        <v>14</v>
      </c>
      <c r="E1035" t="s">
        <v>4</v>
      </c>
      <c r="F1035" t="s">
        <v>32</v>
      </c>
      <c r="G1035" s="2">
        <v>33</v>
      </c>
      <c r="H1035" s="2">
        <v>142.66999999999999</v>
      </c>
      <c r="I1035" s="2">
        <v>167.08</v>
      </c>
      <c r="J1035" s="2">
        <v>4708.1099999999997</v>
      </c>
      <c r="K1035" s="2">
        <v>5513.64</v>
      </c>
      <c r="L1035" s="2">
        <v>805.53</v>
      </c>
    </row>
    <row r="1036" spans="1:12" x14ac:dyDescent="0.3">
      <c r="A1036" s="6">
        <f ca="1">Table1[[#This Row],[Date]]*1</f>
        <v>45337</v>
      </c>
      <c r="B1036" t="s">
        <v>45</v>
      </c>
      <c r="C1036" t="s">
        <v>2</v>
      </c>
      <c r="D1036" t="s">
        <v>5</v>
      </c>
      <c r="E1036" t="s">
        <v>40</v>
      </c>
      <c r="F1036" t="s">
        <v>32</v>
      </c>
      <c r="G1036" s="2">
        <v>26</v>
      </c>
      <c r="H1036" s="2">
        <v>764.16</v>
      </c>
      <c r="I1036" s="2">
        <v>858.16</v>
      </c>
      <c r="J1036" s="2">
        <v>19868.16</v>
      </c>
      <c r="K1036" s="2">
        <v>22312.16</v>
      </c>
      <c r="L1036" s="2">
        <v>2444</v>
      </c>
    </row>
    <row r="1037" spans="1:12" x14ac:dyDescent="0.3">
      <c r="A1037" s="6">
        <f ca="1">Table1[[#This Row],[Date]]*1</f>
        <v>45499</v>
      </c>
      <c r="B1037" t="s">
        <v>45</v>
      </c>
      <c r="C1037" t="s">
        <v>11</v>
      </c>
      <c r="D1037" t="s">
        <v>13</v>
      </c>
      <c r="E1037" t="s">
        <v>40</v>
      </c>
      <c r="F1037" t="s">
        <v>32</v>
      </c>
      <c r="G1037" s="2">
        <v>46</v>
      </c>
      <c r="H1037" s="2">
        <v>889.69</v>
      </c>
      <c r="I1037" s="2">
        <v>1294.58</v>
      </c>
      <c r="J1037" s="2">
        <v>40925.74</v>
      </c>
      <c r="K1037" s="2">
        <v>59550.68</v>
      </c>
      <c r="L1037" s="2">
        <v>18624.939999999999</v>
      </c>
    </row>
    <row r="1038" spans="1:12" x14ac:dyDescent="0.3">
      <c r="A1038" s="6">
        <f ca="1">Table1[[#This Row],[Date]]*1</f>
        <v>45343</v>
      </c>
      <c r="B1038" t="s">
        <v>44</v>
      </c>
      <c r="C1038" t="s">
        <v>11</v>
      </c>
      <c r="D1038" t="s">
        <v>12</v>
      </c>
      <c r="E1038" t="s">
        <v>31</v>
      </c>
      <c r="F1038" t="s">
        <v>29</v>
      </c>
      <c r="G1038" s="2">
        <v>30</v>
      </c>
      <c r="H1038" s="2">
        <v>856.88</v>
      </c>
      <c r="I1038" s="2">
        <v>1049.08</v>
      </c>
      <c r="J1038" s="2">
        <v>25706.400000000001</v>
      </c>
      <c r="K1038" s="2">
        <v>31472.400000000001</v>
      </c>
      <c r="L1038" s="2">
        <v>5766</v>
      </c>
    </row>
    <row r="1039" spans="1:12" x14ac:dyDescent="0.3">
      <c r="A1039" s="6">
        <f ca="1">Table1[[#This Row],[Date]]*1</f>
        <v>45379</v>
      </c>
      <c r="B1039" t="s">
        <v>34</v>
      </c>
      <c r="C1039" t="s">
        <v>8</v>
      </c>
      <c r="D1039" t="s">
        <v>42</v>
      </c>
      <c r="E1039" t="s">
        <v>33</v>
      </c>
      <c r="F1039" t="s">
        <v>29</v>
      </c>
      <c r="G1039" s="2">
        <v>36</v>
      </c>
      <c r="H1039" s="2">
        <v>821.67</v>
      </c>
      <c r="I1039" s="2">
        <v>912.93</v>
      </c>
      <c r="J1039" s="2">
        <v>29580.12</v>
      </c>
      <c r="K1039" s="2">
        <v>32865.480000000003</v>
      </c>
      <c r="L1039" s="2">
        <v>3285.36</v>
      </c>
    </row>
    <row r="1040" spans="1:12" x14ac:dyDescent="0.3">
      <c r="A1040" s="6">
        <f ca="1">Table1[[#This Row],[Date]]*1</f>
        <v>45330</v>
      </c>
      <c r="B1040" t="s">
        <v>37</v>
      </c>
      <c r="C1040" t="s">
        <v>11</v>
      </c>
      <c r="D1040" t="s">
        <v>15</v>
      </c>
      <c r="E1040" t="s">
        <v>31</v>
      </c>
      <c r="F1040" t="s">
        <v>29</v>
      </c>
      <c r="G1040" s="2">
        <v>25</v>
      </c>
      <c r="H1040" s="2">
        <v>320.13</v>
      </c>
      <c r="I1040" s="2">
        <v>435.11</v>
      </c>
      <c r="J1040" s="2">
        <v>8003.25</v>
      </c>
      <c r="K1040" s="2">
        <v>10877.75</v>
      </c>
      <c r="L1040" s="2">
        <v>2874.5</v>
      </c>
    </row>
    <row r="1041" spans="1:12" x14ac:dyDescent="0.3">
      <c r="A1041" s="6">
        <f ca="1">Table1[[#This Row],[Date]]*1</f>
        <v>45473</v>
      </c>
      <c r="B1041" t="s">
        <v>34</v>
      </c>
      <c r="C1041" t="s">
        <v>2</v>
      </c>
      <c r="D1041" t="s">
        <v>3</v>
      </c>
      <c r="E1041" t="s">
        <v>33</v>
      </c>
      <c r="F1041" t="s">
        <v>29</v>
      </c>
      <c r="G1041" s="2">
        <v>33</v>
      </c>
      <c r="H1041" s="2">
        <v>353.16</v>
      </c>
      <c r="I1041" s="2">
        <v>452.39</v>
      </c>
      <c r="J1041" s="2">
        <v>11654.28</v>
      </c>
      <c r="K1041" s="2">
        <v>14928.87</v>
      </c>
      <c r="L1041" s="2">
        <v>3274.59</v>
      </c>
    </row>
    <row r="1042" spans="1:12" x14ac:dyDescent="0.3">
      <c r="A1042" s="6">
        <f ca="1">Table1[[#This Row],[Date]]*1</f>
        <v>45385</v>
      </c>
      <c r="B1042" t="s">
        <v>44</v>
      </c>
      <c r="C1042" t="s">
        <v>8</v>
      </c>
      <c r="D1042" t="s">
        <v>16</v>
      </c>
      <c r="E1042" t="s">
        <v>4</v>
      </c>
      <c r="F1042" t="s">
        <v>29</v>
      </c>
      <c r="G1042" s="2">
        <v>47</v>
      </c>
      <c r="H1042" s="2">
        <v>958.54</v>
      </c>
      <c r="I1042" s="2">
        <v>1210.49</v>
      </c>
      <c r="J1042" s="2">
        <v>45051.38</v>
      </c>
      <c r="K1042" s="2">
        <v>56893.03</v>
      </c>
      <c r="L1042" s="2">
        <v>11841.65</v>
      </c>
    </row>
    <row r="1043" spans="1:12" x14ac:dyDescent="0.3">
      <c r="A1043" s="6">
        <f ca="1">Table1[[#This Row],[Date]]*1</f>
        <v>45604</v>
      </c>
      <c r="B1043" t="s">
        <v>38</v>
      </c>
      <c r="C1043" t="s">
        <v>2</v>
      </c>
      <c r="D1043" t="s">
        <v>3</v>
      </c>
      <c r="E1043" t="s">
        <v>35</v>
      </c>
      <c r="F1043" t="s">
        <v>29</v>
      </c>
      <c r="G1043" s="2">
        <v>34</v>
      </c>
      <c r="H1043" s="2">
        <v>401.41</v>
      </c>
      <c r="I1043" s="2">
        <v>545.95000000000005</v>
      </c>
      <c r="J1043" s="2">
        <v>13647.94</v>
      </c>
      <c r="K1043" s="2">
        <v>18562.3</v>
      </c>
      <c r="L1043" s="2">
        <v>4914.3599999999997</v>
      </c>
    </row>
    <row r="1044" spans="1:12" x14ac:dyDescent="0.3">
      <c r="A1044" s="6">
        <f ca="1">Table1[[#This Row],[Date]]*1</f>
        <v>45442</v>
      </c>
      <c r="B1044" t="s">
        <v>36</v>
      </c>
      <c r="C1044" t="s">
        <v>2</v>
      </c>
      <c r="D1044" t="s">
        <v>14</v>
      </c>
      <c r="E1044" t="s">
        <v>31</v>
      </c>
      <c r="F1044" t="s">
        <v>32</v>
      </c>
      <c r="G1044" s="2">
        <v>33</v>
      </c>
      <c r="H1044" s="2">
        <v>933.18</v>
      </c>
      <c r="I1044" s="2">
        <v>1276</v>
      </c>
      <c r="J1044" s="2">
        <v>30794.94</v>
      </c>
      <c r="K1044" s="2">
        <v>42108</v>
      </c>
      <c r="L1044" s="2">
        <v>11313.06</v>
      </c>
    </row>
    <row r="1045" spans="1:12" x14ac:dyDescent="0.3">
      <c r="A1045" s="6">
        <f ca="1">Table1[[#This Row],[Date]]*1</f>
        <v>45320</v>
      </c>
      <c r="B1045" t="s">
        <v>37</v>
      </c>
      <c r="C1045" t="s">
        <v>2</v>
      </c>
      <c r="D1045" t="s">
        <v>14</v>
      </c>
      <c r="E1045" t="s">
        <v>40</v>
      </c>
      <c r="F1045" t="s">
        <v>32</v>
      </c>
      <c r="G1045" s="2">
        <v>39</v>
      </c>
      <c r="H1045" s="2">
        <v>738.2</v>
      </c>
      <c r="I1045" s="2">
        <v>985.64</v>
      </c>
      <c r="J1045" s="2">
        <v>28789.8</v>
      </c>
      <c r="K1045" s="2">
        <v>38439.96</v>
      </c>
      <c r="L1045" s="2">
        <v>9650.16</v>
      </c>
    </row>
    <row r="1046" spans="1:12" x14ac:dyDescent="0.3">
      <c r="A1046" s="6">
        <f ca="1">Table1[[#This Row],[Date]]*1</f>
        <v>45468</v>
      </c>
      <c r="B1046" t="s">
        <v>44</v>
      </c>
      <c r="C1046" t="s">
        <v>2</v>
      </c>
      <c r="D1046" t="s">
        <v>5</v>
      </c>
      <c r="E1046" t="s">
        <v>4</v>
      </c>
      <c r="F1046" t="s">
        <v>32</v>
      </c>
      <c r="G1046" s="2">
        <v>44</v>
      </c>
      <c r="H1046" s="2">
        <v>238.52</v>
      </c>
      <c r="I1046" s="2">
        <v>321.08999999999997</v>
      </c>
      <c r="J1046" s="2">
        <v>10494.88</v>
      </c>
      <c r="K1046" s="2">
        <v>14127.96</v>
      </c>
      <c r="L1046" s="2">
        <v>3633.08</v>
      </c>
    </row>
    <row r="1047" spans="1:12" x14ac:dyDescent="0.3">
      <c r="A1047" s="6">
        <f ca="1">Table1[[#This Row],[Date]]*1</f>
        <v>45306</v>
      </c>
      <c r="B1047" t="s">
        <v>38</v>
      </c>
      <c r="C1047" t="s">
        <v>2</v>
      </c>
      <c r="D1047" t="s">
        <v>3</v>
      </c>
      <c r="E1047" t="s">
        <v>4</v>
      </c>
      <c r="F1047" t="s">
        <v>29</v>
      </c>
      <c r="G1047" s="2">
        <v>35</v>
      </c>
      <c r="H1047" s="2">
        <v>287.99</v>
      </c>
      <c r="I1047" s="2">
        <v>385.23</v>
      </c>
      <c r="J1047" s="2">
        <v>10079.65</v>
      </c>
      <c r="K1047" s="2">
        <v>13483.05</v>
      </c>
      <c r="L1047" s="2">
        <v>3403.4</v>
      </c>
    </row>
    <row r="1048" spans="1:12" x14ac:dyDescent="0.3">
      <c r="A1048" s="6">
        <f ca="1">Table1[[#This Row],[Date]]*1</f>
        <v>45391</v>
      </c>
      <c r="B1048" t="s">
        <v>37</v>
      </c>
      <c r="C1048" t="s">
        <v>6</v>
      </c>
      <c r="D1048" t="s">
        <v>10</v>
      </c>
      <c r="E1048" t="s">
        <v>35</v>
      </c>
      <c r="F1048" t="s">
        <v>29</v>
      </c>
      <c r="G1048" s="2">
        <v>16</v>
      </c>
      <c r="H1048" s="2">
        <v>586.15</v>
      </c>
      <c r="I1048" s="2">
        <v>689.26</v>
      </c>
      <c r="J1048" s="2">
        <v>9378.4</v>
      </c>
      <c r="K1048" s="2">
        <v>11028.16</v>
      </c>
      <c r="L1048" s="2">
        <v>1649.76</v>
      </c>
    </row>
    <row r="1049" spans="1:12" x14ac:dyDescent="0.3">
      <c r="A1049" s="6">
        <f ca="1">Table1[[#This Row],[Date]]*1</f>
        <v>45466</v>
      </c>
      <c r="B1049" t="s">
        <v>45</v>
      </c>
      <c r="C1049" t="s">
        <v>6</v>
      </c>
      <c r="D1049" t="s">
        <v>10</v>
      </c>
      <c r="E1049" t="s">
        <v>4</v>
      </c>
      <c r="F1049" t="s">
        <v>32</v>
      </c>
      <c r="G1049" s="2">
        <v>20</v>
      </c>
      <c r="H1049" s="2">
        <v>900.2</v>
      </c>
      <c r="I1049" s="2">
        <v>1339.09</v>
      </c>
      <c r="J1049" s="2">
        <v>18004</v>
      </c>
      <c r="K1049" s="2">
        <v>26781.8</v>
      </c>
      <c r="L1049" s="2">
        <v>8777.7999999999993</v>
      </c>
    </row>
    <row r="1050" spans="1:12" x14ac:dyDescent="0.3">
      <c r="A1050" s="6">
        <f ca="1">Table1[[#This Row],[Date]]*1</f>
        <v>45592</v>
      </c>
      <c r="B1050" t="s">
        <v>41</v>
      </c>
      <c r="C1050" t="s">
        <v>11</v>
      </c>
      <c r="D1050" t="s">
        <v>12</v>
      </c>
      <c r="E1050" t="s">
        <v>31</v>
      </c>
      <c r="F1050" t="s">
        <v>29</v>
      </c>
      <c r="G1050" s="2">
        <v>14</v>
      </c>
      <c r="H1050" s="2">
        <v>166.62</v>
      </c>
      <c r="I1050" s="2">
        <v>237.32</v>
      </c>
      <c r="J1050" s="2">
        <v>2332.6799999999998</v>
      </c>
      <c r="K1050" s="2">
        <v>3322.48</v>
      </c>
      <c r="L1050" s="2">
        <v>989.8</v>
      </c>
    </row>
    <row r="1051" spans="1:12" x14ac:dyDescent="0.3">
      <c r="A1051" s="6">
        <f ca="1">Table1[[#This Row],[Date]]*1</f>
        <v>45450</v>
      </c>
      <c r="B1051" t="s">
        <v>37</v>
      </c>
      <c r="C1051" t="s">
        <v>6</v>
      </c>
      <c r="D1051" t="s">
        <v>17</v>
      </c>
      <c r="E1051" t="s">
        <v>40</v>
      </c>
      <c r="F1051" t="s">
        <v>32</v>
      </c>
      <c r="G1051" s="2">
        <v>34</v>
      </c>
      <c r="H1051" s="2">
        <v>55.08</v>
      </c>
      <c r="I1051" s="2">
        <v>64.89</v>
      </c>
      <c r="J1051" s="2">
        <v>1872.72</v>
      </c>
      <c r="K1051" s="2">
        <v>2206.2600000000002</v>
      </c>
      <c r="L1051" s="2">
        <v>333.54</v>
      </c>
    </row>
    <row r="1052" spans="1:12" x14ac:dyDescent="0.3">
      <c r="A1052" s="6">
        <f ca="1">Table1[[#This Row],[Date]]*1</f>
        <v>45514</v>
      </c>
      <c r="B1052" t="s">
        <v>34</v>
      </c>
      <c r="C1052" t="s">
        <v>2</v>
      </c>
      <c r="D1052" t="s">
        <v>14</v>
      </c>
      <c r="E1052" t="s">
        <v>40</v>
      </c>
      <c r="F1052" t="s">
        <v>32</v>
      </c>
      <c r="G1052" s="2">
        <v>40</v>
      </c>
      <c r="H1052" s="2">
        <v>198.11</v>
      </c>
      <c r="I1052" s="2">
        <v>232.3</v>
      </c>
      <c r="J1052" s="2">
        <v>7924.4</v>
      </c>
      <c r="K1052" s="2">
        <v>9292</v>
      </c>
      <c r="L1052" s="2">
        <v>1367.6</v>
      </c>
    </row>
    <row r="1053" spans="1:12" x14ac:dyDescent="0.3">
      <c r="A1053" s="6">
        <f ca="1">Table1[[#This Row],[Date]]*1</f>
        <v>45573</v>
      </c>
      <c r="B1053" t="s">
        <v>39</v>
      </c>
      <c r="C1053" t="s">
        <v>2</v>
      </c>
      <c r="D1053" t="s">
        <v>3</v>
      </c>
      <c r="E1053" t="s">
        <v>43</v>
      </c>
      <c r="F1053" t="s">
        <v>29</v>
      </c>
      <c r="G1053" s="2">
        <v>23</v>
      </c>
      <c r="H1053" s="2">
        <v>96.98</v>
      </c>
      <c r="I1053" s="2">
        <v>117.58</v>
      </c>
      <c r="J1053" s="2">
        <v>2230.54</v>
      </c>
      <c r="K1053" s="2">
        <v>2704.34</v>
      </c>
      <c r="L1053" s="2">
        <v>473.8</v>
      </c>
    </row>
    <row r="1054" spans="1:12" x14ac:dyDescent="0.3">
      <c r="A1054" s="6">
        <f ca="1">Table1[[#This Row],[Date]]*1</f>
        <v>45644</v>
      </c>
      <c r="B1054" t="s">
        <v>44</v>
      </c>
      <c r="C1054" t="s">
        <v>6</v>
      </c>
      <c r="D1054" t="s">
        <v>17</v>
      </c>
      <c r="E1054" t="s">
        <v>33</v>
      </c>
      <c r="F1054" t="s">
        <v>32</v>
      </c>
      <c r="G1054" s="2">
        <v>7</v>
      </c>
      <c r="H1054" s="2">
        <v>119.97</v>
      </c>
      <c r="I1054" s="2">
        <v>135.5</v>
      </c>
      <c r="J1054" s="2">
        <v>839.79</v>
      </c>
      <c r="K1054" s="2">
        <v>948.5</v>
      </c>
      <c r="L1054" s="2">
        <v>108.71</v>
      </c>
    </row>
    <row r="1055" spans="1:12" x14ac:dyDescent="0.3">
      <c r="A1055" s="6">
        <f ca="1">Table1[[#This Row],[Date]]*1</f>
        <v>45601</v>
      </c>
      <c r="B1055" t="s">
        <v>37</v>
      </c>
      <c r="C1055" t="s">
        <v>6</v>
      </c>
      <c r="D1055" t="s">
        <v>10</v>
      </c>
      <c r="E1055" t="s">
        <v>43</v>
      </c>
      <c r="F1055" t="s">
        <v>29</v>
      </c>
      <c r="G1055" s="2">
        <v>50</v>
      </c>
      <c r="H1055" s="2">
        <v>832.98</v>
      </c>
      <c r="I1055" s="2">
        <v>1165.1300000000001</v>
      </c>
      <c r="J1055" s="2">
        <v>41649</v>
      </c>
      <c r="K1055" s="2">
        <v>58256.5</v>
      </c>
      <c r="L1055" s="2">
        <v>16607.5</v>
      </c>
    </row>
    <row r="1056" spans="1:12" x14ac:dyDescent="0.3">
      <c r="A1056" s="6">
        <f ca="1">Table1[[#This Row],[Date]]*1</f>
        <v>45576</v>
      </c>
      <c r="B1056" t="s">
        <v>44</v>
      </c>
      <c r="C1056" t="s">
        <v>2</v>
      </c>
      <c r="D1056" t="s">
        <v>14</v>
      </c>
      <c r="E1056" t="s">
        <v>35</v>
      </c>
      <c r="F1056" t="s">
        <v>32</v>
      </c>
      <c r="G1056" s="2">
        <v>5</v>
      </c>
      <c r="H1056" s="2">
        <v>847.92</v>
      </c>
      <c r="I1056" s="2">
        <v>956.27</v>
      </c>
      <c r="J1056" s="2">
        <v>4239.6000000000004</v>
      </c>
      <c r="K1056" s="2">
        <v>4781.3500000000004</v>
      </c>
      <c r="L1056" s="2">
        <v>541.75</v>
      </c>
    </row>
    <row r="1057" spans="1:12" x14ac:dyDescent="0.3">
      <c r="A1057" s="6">
        <f ca="1">Table1[[#This Row],[Date]]*1</f>
        <v>45433</v>
      </c>
      <c r="B1057" t="s">
        <v>28</v>
      </c>
      <c r="C1057" t="s">
        <v>2</v>
      </c>
      <c r="D1057" t="s">
        <v>5</v>
      </c>
      <c r="E1057" t="s">
        <v>43</v>
      </c>
      <c r="F1057" t="s">
        <v>29</v>
      </c>
      <c r="G1057" s="2">
        <v>47</v>
      </c>
      <c r="H1057" s="2">
        <v>416.58</v>
      </c>
      <c r="I1057" s="2">
        <v>598.44000000000005</v>
      </c>
      <c r="J1057" s="2">
        <v>19579.259999999998</v>
      </c>
      <c r="K1057" s="2">
        <v>28126.68</v>
      </c>
      <c r="L1057" s="2">
        <v>8547.42</v>
      </c>
    </row>
    <row r="1058" spans="1:12" x14ac:dyDescent="0.3">
      <c r="A1058" s="6">
        <f ca="1">Table1[[#This Row],[Date]]*1</f>
        <v>45328</v>
      </c>
      <c r="B1058" t="s">
        <v>38</v>
      </c>
      <c r="C1058" t="s">
        <v>6</v>
      </c>
      <c r="D1058" t="s">
        <v>7</v>
      </c>
      <c r="E1058" t="s">
        <v>35</v>
      </c>
      <c r="F1058" t="s">
        <v>29</v>
      </c>
      <c r="G1058" s="2">
        <v>20</v>
      </c>
      <c r="H1058" s="2">
        <v>156.5</v>
      </c>
      <c r="I1058" s="2">
        <v>219.23</v>
      </c>
      <c r="J1058" s="2">
        <v>3130</v>
      </c>
      <c r="K1058" s="2">
        <v>4384.6000000000004</v>
      </c>
      <c r="L1058" s="2">
        <v>1254.5999999999999</v>
      </c>
    </row>
    <row r="1059" spans="1:12" x14ac:dyDescent="0.3">
      <c r="A1059" s="6">
        <f ca="1">Table1[[#This Row],[Date]]*1</f>
        <v>45499</v>
      </c>
      <c r="B1059" t="s">
        <v>44</v>
      </c>
      <c r="C1059" t="s">
        <v>6</v>
      </c>
      <c r="D1059" t="s">
        <v>17</v>
      </c>
      <c r="E1059" t="s">
        <v>33</v>
      </c>
      <c r="F1059" t="s">
        <v>29</v>
      </c>
      <c r="G1059" s="2">
        <v>9</v>
      </c>
      <c r="H1059" s="2">
        <v>611.79999999999995</v>
      </c>
      <c r="I1059" s="2">
        <v>817.45</v>
      </c>
      <c r="J1059" s="2">
        <v>5506.2</v>
      </c>
      <c r="K1059" s="2">
        <v>7357.05</v>
      </c>
      <c r="L1059" s="2">
        <v>1850.85</v>
      </c>
    </row>
    <row r="1060" spans="1:12" x14ac:dyDescent="0.3">
      <c r="A1060" s="6">
        <f ca="1">Table1[[#This Row],[Date]]*1</f>
        <v>45374</v>
      </c>
      <c r="B1060" t="s">
        <v>34</v>
      </c>
      <c r="C1060" t="s">
        <v>6</v>
      </c>
      <c r="D1060" t="s">
        <v>7</v>
      </c>
      <c r="E1060" t="s">
        <v>4</v>
      </c>
      <c r="F1060" t="s">
        <v>32</v>
      </c>
      <c r="G1060" s="2">
        <v>48</v>
      </c>
      <c r="H1060" s="2">
        <v>162.66999999999999</v>
      </c>
      <c r="I1060" s="2">
        <v>180.11</v>
      </c>
      <c r="J1060" s="2">
        <v>7808.16</v>
      </c>
      <c r="K1060" s="2">
        <v>8645.2800000000007</v>
      </c>
      <c r="L1060" s="2">
        <v>837.12</v>
      </c>
    </row>
    <row r="1061" spans="1:12" x14ac:dyDescent="0.3">
      <c r="A1061" s="6">
        <f ca="1">Table1[[#This Row],[Date]]*1</f>
        <v>45409</v>
      </c>
      <c r="B1061" t="s">
        <v>45</v>
      </c>
      <c r="C1061" t="s">
        <v>2</v>
      </c>
      <c r="D1061" t="s">
        <v>5</v>
      </c>
      <c r="E1061" t="s">
        <v>35</v>
      </c>
      <c r="F1061" t="s">
        <v>32</v>
      </c>
      <c r="G1061" s="2">
        <v>33</v>
      </c>
      <c r="H1061" s="2">
        <v>312.26</v>
      </c>
      <c r="I1061" s="2">
        <v>440.08</v>
      </c>
      <c r="J1061" s="2">
        <v>10304.58</v>
      </c>
      <c r="K1061" s="2">
        <v>14522.64</v>
      </c>
      <c r="L1061" s="2">
        <v>4218.0600000000004</v>
      </c>
    </row>
    <row r="1062" spans="1:12" x14ac:dyDescent="0.3">
      <c r="A1062" s="6">
        <f ca="1">Table1[[#This Row],[Date]]*1</f>
        <v>45415</v>
      </c>
      <c r="B1062" t="s">
        <v>28</v>
      </c>
      <c r="C1062" t="s">
        <v>11</v>
      </c>
      <c r="D1062" t="s">
        <v>15</v>
      </c>
      <c r="E1062" t="s">
        <v>43</v>
      </c>
      <c r="F1062" t="s">
        <v>29</v>
      </c>
      <c r="G1062" s="2">
        <v>32</v>
      </c>
      <c r="H1062" s="2">
        <v>349.17</v>
      </c>
      <c r="I1062" s="2">
        <v>488.6</v>
      </c>
      <c r="J1062" s="2">
        <v>11173.44</v>
      </c>
      <c r="K1062" s="2">
        <v>15635.2</v>
      </c>
      <c r="L1062" s="2">
        <v>4461.76</v>
      </c>
    </row>
    <row r="1063" spans="1:12" x14ac:dyDescent="0.3">
      <c r="A1063" s="6">
        <f ca="1">Table1[[#This Row],[Date]]*1</f>
        <v>45547</v>
      </c>
      <c r="B1063" t="s">
        <v>45</v>
      </c>
      <c r="C1063" t="s">
        <v>8</v>
      </c>
      <c r="D1063" t="s">
        <v>42</v>
      </c>
      <c r="E1063" t="s">
        <v>31</v>
      </c>
      <c r="F1063" t="s">
        <v>29</v>
      </c>
      <c r="G1063" s="2">
        <v>28</v>
      </c>
      <c r="H1063" s="2">
        <v>509.77</v>
      </c>
      <c r="I1063" s="2">
        <v>757.29</v>
      </c>
      <c r="J1063" s="2">
        <v>14273.56</v>
      </c>
      <c r="K1063" s="2">
        <v>21204.12</v>
      </c>
      <c r="L1063" s="2">
        <v>6930.56</v>
      </c>
    </row>
    <row r="1064" spans="1:12" x14ac:dyDescent="0.3">
      <c r="A1064" s="6">
        <f ca="1">Table1[[#This Row],[Date]]*1</f>
        <v>45376</v>
      </c>
      <c r="B1064" t="s">
        <v>44</v>
      </c>
      <c r="C1064" t="s">
        <v>6</v>
      </c>
      <c r="D1064" t="s">
        <v>17</v>
      </c>
      <c r="E1064" t="s">
        <v>35</v>
      </c>
      <c r="F1064" t="s">
        <v>32</v>
      </c>
      <c r="G1064" s="2">
        <v>30</v>
      </c>
      <c r="H1064" s="2">
        <v>548.41999999999996</v>
      </c>
      <c r="I1064" s="2">
        <v>689.5</v>
      </c>
      <c r="J1064" s="2">
        <v>16452.599999999999</v>
      </c>
      <c r="K1064" s="2">
        <v>20685</v>
      </c>
      <c r="L1064" s="2">
        <v>4232.3999999999996</v>
      </c>
    </row>
    <row r="1065" spans="1:12" x14ac:dyDescent="0.3">
      <c r="A1065" s="6">
        <f ca="1">Table1[[#This Row],[Date]]*1</f>
        <v>45321</v>
      </c>
      <c r="B1065" t="s">
        <v>34</v>
      </c>
      <c r="C1065" t="s">
        <v>6</v>
      </c>
      <c r="D1065" t="s">
        <v>17</v>
      </c>
      <c r="E1065" t="s">
        <v>43</v>
      </c>
      <c r="F1065" t="s">
        <v>29</v>
      </c>
      <c r="G1065" s="2">
        <v>38</v>
      </c>
      <c r="H1065" s="2">
        <v>65</v>
      </c>
      <c r="I1065" s="2">
        <v>84</v>
      </c>
      <c r="J1065" s="2">
        <v>2470</v>
      </c>
      <c r="K1065" s="2">
        <v>3192</v>
      </c>
      <c r="L1065" s="2">
        <v>722</v>
      </c>
    </row>
    <row r="1066" spans="1:12" x14ac:dyDescent="0.3">
      <c r="A1066" s="6">
        <f ca="1">Table1[[#This Row],[Date]]*1</f>
        <v>45622</v>
      </c>
      <c r="B1066" t="s">
        <v>30</v>
      </c>
      <c r="C1066" t="s">
        <v>11</v>
      </c>
      <c r="D1066" t="s">
        <v>15</v>
      </c>
      <c r="E1066" t="s">
        <v>31</v>
      </c>
      <c r="F1066" t="s">
        <v>32</v>
      </c>
      <c r="G1066" s="2">
        <v>33</v>
      </c>
      <c r="H1066" s="2">
        <v>484.97</v>
      </c>
      <c r="I1066" s="2">
        <v>695.53</v>
      </c>
      <c r="J1066" s="2">
        <v>16004.01</v>
      </c>
      <c r="K1066" s="2">
        <v>22952.49</v>
      </c>
      <c r="L1066" s="2">
        <v>6948.48</v>
      </c>
    </row>
    <row r="1067" spans="1:12" x14ac:dyDescent="0.3">
      <c r="A1067" s="6">
        <f ca="1">Table1[[#This Row],[Date]]*1</f>
        <v>45589</v>
      </c>
      <c r="B1067" t="s">
        <v>28</v>
      </c>
      <c r="C1067" t="s">
        <v>8</v>
      </c>
      <c r="D1067" t="s">
        <v>42</v>
      </c>
      <c r="E1067" t="s">
        <v>4</v>
      </c>
      <c r="F1067" t="s">
        <v>29</v>
      </c>
      <c r="G1067" s="2">
        <v>47</v>
      </c>
      <c r="H1067" s="2">
        <v>896.51</v>
      </c>
      <c r="I1067" s="2">
        <v>1098</v>
      </c>
      <c r="J1067" s="2">
        <v>42135.97</v>
      </c>
      <c r="K1067" s="2">
        <v>51606</v>
      </c>
      <c r="L1067" s="2">
        <v>9470.0300000000007</v>
      </c>
    </row>
    <row r="1068" spans="1:12" x14ac:dyDescent="0.3">
      <c r="A1068" s="6">
        <f ca="1">Table1[[#This Row],[Date]]*1</f>
        <v>45595</v>
      </c>
      <c r="B1068" t="s">
        <v>44</v>
      </c>
      <c r="C1068" t="s">
        <v>8</v>
      </c>
      <c r="D1068" t="s">
        <v>16</v>
      </c>
      <c r="E1068" t="s">
        <v>31</v>
      </c>
      <c r="F1068" t="s">
        <v>29</v>
      </c>
      <c r="G1068" s="2">
        <v>30</v>
      </c>
      <c r="H1068" s="2">
        <v>977.88</v>
      </c>
      <c r="I1068" s="2">
        <v>1177.5</v>
      </c>
      <c r="J1068" s="2">
        <v>29336.400000000001</v>
      </c>
      <c r="K1068" s="2">
        <v>35325</v>
      </c>
      <c r="L1068" s="2">
        <v>5988.6</v>
      </c>
    </row>
    <row r="1069" spans="1:12" x14ac:dyDescent="0.3">
      <c r="A1069" s="6">
        <f ca="1">Table1[[#This Row],[Date]]*1</f>
        <v>45360</v>
      </c>
      <c r="B1069" t="s">
        <v>30</v>
      </c>
      <c r="C1069" t="s">
        <v>6</v>
      </c>
      <c r="D1069" t="s">
        <v>7</v>
      </c>
      <c r="E1069" t="s">
        <v>31</v>
      </c>
      <c r="F1069" t="s">
        <v>29</v>
      </c>
      <c r="G1069" s="2">
        <v>8</v>
      </c>
      <c r="H1069" s="2">
        <v>872.72</v>
      </c>
      <c r="I1069" s="2">
        <v>1226.76</v>
      </c>
      <c r="J1069" s="2">
        <v>6981.76</v>
      </c>
      <c r="K1069" s="2">
        <v>9814.08</v>
      </c>
      <c r="L1069" s="2">
        <v>2832.32</v>
      </c>
    </row>
    <row r="1070" spans="1:12" x14ac:dyDescent="0.3">
      <c r="A1070" s="6">
        <f ca="1">Table1[[#This Row],[Date]]*1</f>
        <v>45574</v>
      </c>
      <c r="B1070" t="s">
        <v>30</v>
      </c>
      <c r="C1070" t="s">
        <v>8</v>
      </c>
      <c r="D1070" t="s">
        <v>16</v>
      </c>
      <c r="E1070" t="s">
        <v>31</v>
      </c>
      <c r="F1070" t="s">
        <v>29</v>
      </c>
      <c r="G1070" s="2">
        <v>14</v>
      </c>
      <c r="H1070" s="2">
        <v>821.91</v>
      </c>
      <c r="I1070" s="2">
        <v>1048.24</v>
      </c>
      <c r="J1070" s="2">
        <v>11506.74</v>
      </c>
      <c r="K1070" s="2">
        <v>14675.36</v>
      </c>
      <c r="L1070" s="2">
        <v>3168.62</v>
      </c>
    </row>
    <row r="1071" spans="1:12" x14ac:dyDescent="0.3">
      <c r="A1071" s="6">
        <f ca="1">Table1[[#This Row],[Date]]*1</f>
        <v>45588</v>
      </c>
      <c r="B1071" t="s">
        <v>41</v>
      </c>
      <c r="C1071" t="s">
        <v>11</v>
      </c>
      <c r="D1071" t="s">
        <v>12</v>
      </c>
      <c r="E1071" t="s">
        <v>4</v>
      </c>
      <c r="F1071" t="s">
        <v>29</v>
      </c>
      <c r="G1071" s="2">
        <v>22</v>
      </c>
      <c r="H1071" s="2">
        <v>262.33</v>
      </c>
      <c r="I1071" s="2">
        <v>296.48</v>
      </c>
      <c r="J1071" s="2">
        <v>5771.26</v>
      </c>
      <c r="K1071" s="2">
        <v>6522.56</v>
      </c>
      <c r="L1071" s="2">
        <v>751.3</v>
      </c>
    </row>
    <row r="1072" spans="1:12" x14ac:dyDescent="0.3">
      <c r="A1072" s="6">
        <f ca="1">Table1[[#This Row],[Date]]*1</f>
        <v>45599</v>
      </c>
      <c r="B1072" t="s">
        <v>36</v>
      </c>
      <c r="C1072" t="s">
        <v>8</v>
      </c>
      <c r="D1072" t="s">
        <v>42</v>
      </c>
      <c r="E1072" t="s">
        <v>43</v>
      </c>
      <c r="F1072" t="s">
        <v>29</v>
      </c>
      <c r="G1072" s="2">
        <v>3</v>
      </c>
      <c r="H1072" s="2">
        <v>361.24</v>
      </c>
      <c r="I1072" s="2">
        <v>514.6</v>
      </c>
      <c r="J1072" s="2">
        <v>1083.72</v>
      </c>
      <c r="K1072" s="2">
        <v>1543.8</v>
      </c>
      <c r="L1072" s="2">
        <v>460.08</v>
      </c>
    </row>
    <row r="1073" spans="1:12" x14ac:dyDescent="0.3">
      <c r="A1073" s="6">
        <f ca="1">Table1[[#This Row],[Date]]*1</f>
        <v>45390</v>
      </c>
      <c r="B1073" t="s">
        <v>37</v>
      </c>
      <c r="C1073" t="s">
        <v>8</v>
      </c>
      <c r="D1073" t="s">
        <v>42</v>
      </c>
      <c r="E1073" t="s">
        <v>35</v>
      </c>
      <c r="F1073" t="s">
        <v>32</v>
      </c>
      <c r="G1073" s="2">
        <v>19</v>
      </c>
      <c r="H1073" s="2">
        <v>837.52</v>
      </c>
      <c r="I1073" s="2">
        <v>1139.02</v>
      </c>
      <c r="J1073" s="2">
        <v>15912.88</v>
      </c>
      <c r="K1073" s="2">
        <v>21641.38</v>
      </c>
      <c r="L1073" s="2">
        <v>5728.5</v>
      </c>
    </row>
    <row r="1074" spans="1:12" x14ac:dyDescent="0.3">
      <c r="A1074" s="6">
        <f ca="1">Table1[[#This Row],[Date]]*1</f>
        <v>45636</v>
      </c>
      <c r="B1074" t="s">
        <v>45</v>
      </c>
      <c r="C1074" t="s">
        <v>8</v>
      </c>
      <c r="D1074" t="s">
        <v>16</v>
      </c>
      <c r="E1074" t="s">
        <v>40</v>
      </c>
      <c r="F1074" t="s">
        <v>29</v>
      </c>
      <c r="G1074" s="2">
        <v>17</v>
      </c>
      <c r="H1074" s="2">
        <v>191.1</v>
      </c>
      <c r="I1074" s="2">
        <v>262.99</v>
      </c>
      <c r="J1074" s="2">
        <v>3248.7</v>
      </c>
      <c r="K1074" s="2">
        <v>4470.83</v>
      </c>
      <c r="L1074" s="2">
        <v>1222.1300000000001</v>
      </c>
    </row>
    <row r="1075" spans="1:12" x14ac:dyDescent="0.3">
      <c r="A1075" s="6">
        <f ca="1">Table1[[#This Row],[Date]]*1</f>
        <v>45577</v>
      </c>
      <c r="B1075" t="s">
        <v>37</v>
      </c>
      <c r="C1075" t="s">
        <v>6</v>
      </c>
      <c r="D1075" t="s">
        <v>7</v>
      </c>
      <c r="E1075" t="s">
        <v>31</v>
      </c>
      <c r="F1075" t="s">
        <v>29</v>
      </c>
      <c r="G1075" s="2">
        <v>37</v>
      </c>
      <c r="H1075" s="2">
        <v>223.55</v>
      </c>
      <c r="I1075" s="2">
        <v>259.58999999999997</v>
      </c>
      <c r="J1075" s="2">
        <v>8271.35</v>
      </c>
      <c r="K1075" s="2">
        <v>9604.83</v>
      </c>
      <c r="L1075" s="2">
        <v>1333.48</v>
      </c>
    </row>
    <row r="1076" spans="1:12" x14ac:dyDescent="0.3">
      <c r="A1076" s="6">
        <f ca="1">Table1[[#This Row],[Date]]*1</f>
        <v>45416</v>
      </c>
      <c r="B1076" t="s">
        <v>37</v>
      </c>
      <c r="C1076" t="s">
        <v>2</v>
      </c>
      <c r="D1076" t="s">
        <v>3</v>
      </c>
      <c r="E1076" t="s">
        <v>40</v>
      </c>
      <c r="F1076" t="s">
        <v>32</v>
      </c>
      <c r="G1076" s="2">
        <v>41</v>
      </c>
      <c r="H1076" s="2">
        <v>898.47</v>
      </c>
      <c r="I1076" s="2">
        <v>1177.56</v>
      </c>
      <c r="J1076" s="2">
        <v>36837.269999999997</v>
      </c>
      <c r="K1076" s="2">
        <v>48279.96</v>
      </c>
      <c r="L1076" s="2">
        <v>11442.69</v>
      </c>
    </row>
    <row r="1077" spans="1:12" x14ac:dyDescent="0.3">
      <c r="A1077" s="6">
        <f ca="1">Table1[[#This Row],[Date]]*1</f>
        <v>45400</v>
      </c>
      <c r="B1077" t="s">
        <v>41</v>
      </c>
      <c r="C1077" t="s">
        <v>11</v>
      </c>
      <c r="D1077" t="s">
        <v>13</v>
      </c>
      <c r="E1077" t="s">
        <v>33</v>
      </c>
      <c r="F1077" t="s">
        <v>32</v>
      </c>
      <c r="G1077" s="2">
        <v>6</v>
      </c>
      <c r="H1077" s="2">
        <v>58.08</v>
      </c>
      <c r="I1077" s="2">
        <v>76.260000000000005</v>
      </c>
      <c r="J1077" s="2">
        <v>348.48</v>
      </c>
      <c r="K1077" s="2">
        <v>457.56</v>
      </c>
      <c r="L1077" s="2">
        <v>109.08</v>
      </c>
    </row>
    <row r="1078" spans="1:12" x14ac:dyDescent="0.3">
      <c r="A1078" s="6">
        <f ca="1">Table1[[#This Row],[Date]]*1</f>
        <v>45501</v>
      </c>
      <c r="B1078" t="s">
        <v>36</v>
      </c>
      <c r="C1078" t="s">
        <v>11</v>
      </c>
      <c r="D1078" t="s">
        <v>12</v>
      </c>
      <c r="E1078" t="s">
        <v>31</v>
      </c>
      <c r="F1078" t="s">
        <v>29</v>
      </c>
      <c r="G1078" s="2">
        <v>25</v>
      </c>
      <c r="H1078" s="2">
        <v>218.36</v>
      </c>
      <c r="I1078" s="2">
        <v>285.06</v>
      </c>
      <c r="J1078" s="2">
        <v>5459</v>
      </c>
      <c r="K1078" s="2">
        <v>7126.5</v>
      </c>
      <c r="L1078" s="2">
        <v>1667.5</v>
      </c>
    </row>
    <row r="1079" spans="1:12" x14ac:dyDescent="0.3">
      <c r="A1079" s="6">
        <f ca="1">Table1[[#This Row],[Date]]*1</f>
        <v>45567</v>
      </c>
      <c r="B1079" t="s">
        <v>36</v>
      </c>
      <c r="C1079" t="s">
        <v>6</v>
      </c>
      <c r="D1079" t="s">
        <v>10</v>
      </c>
      <c r="E1079" t="s">
        <v>33</v>
      </c>
      <c r="F1079" t="s">
        <v>29</v>
      </c>
      <c r="G1079" s="2">
        <v>28</v>
      </c>
      <c r="H1079" s="2">
        <v>54.83</v>
      </c>
      <c r="I1079" s="2">
        <v>61.75</v>
      </c>
      <c r="J1079" s="2">
        <v>1535.24</v>
      </c>
      <c r="K1079" s="2">
        <v>1729</v>
      </c>
      <c r="L1079" s="2">
        <v>193.76</v>
      </c>
    </row>
    <row r="1080" spans="1:12" x14ac:dyDescent="0.3">
      <c r="A1080" s="6">
        <f ca="1">Table1[[#This Row],[Date]]*1</f>
        <v>45401</v>
      </c>
      <c r="B1080" t="s">
        <v>37</v>
      </c>
      <c r="C1080" t="s">
        <v>8</v>
      </c>
      <c r="D1080" t="s">
        <v>9</v>
      </c>
      <c r="E1080" t="s">
        <v>43</v>
      </c>
      <c r="F1080" t="s">
        <v>32</v>
      </c>
      <c r="G1080" s="2">
        <v>38</v>
      </c>
      <c r="H1080" s="2">
        <v>198.17</v>
      </c>
      <c r="I1080" s="2">
        <v>255.22</v>
      </c>
      <c r="J1080" s="2">
        <v>7530.46</v>
      </c>
      <c r="K1080" s="2">
        <v>9698.36</v>
      </c>
      <c r="L1080" s="2">
        <v>2167.9</v>
      </c>
    </row>
    <row r="1081" spans="1:12" x14ac:dyDescent="0.3">
      <c r="A1081" s="6">
        <f ca="1">Table1[[#This Row],[Date]]*1</f>
        <v>45541</v>
      </c>
      <c r="B1081" t="s">
        <v>37</v>
      </c>
      <c r="C1081" t="s">
        <v>2</v>
      </c>
      <c r="D1081" t="s">
        <v>5</v>
      </c>
      <c r="E1081" t="s">
        <v>31</v>
      </c>
      <c r="F1081" t="s">
        <v>32</v>
      </c>
      <c r="G1081" s="2">
        <v>1</v>
      </c>
      <c r="H1081" s="2">
        <v>527.61</v>
      </c>
      <c r="I1081" s="2">
        <v>644.02</v>
      </c>
      <c r="J1081" s="2">
        <v>527.61</v>
      </c>
      <c r="K1081" s="2">
        <v>644.02</v>
      </c>
      <c r="L1081" s="2">
        <v>116.41</v>
      </c>
    </row>
    <row r="1082" spans="1:12" x14ac:dyDescent="0.3">
      <c r="A1082" s="6">
        <f ca="1">Table1[[#This Row],[Date]]*1</f>
        <v>45325</v>
      </c>
      <c r="B1082" t="s">
        <v>39</v>
      </c>
      <c r="C1082" t="s">
        <v>11</v>
      </c>
      <c r="D1082" t="s">
        <v>15</v>
      </c>
      <c r="E1082" t="s">
        <v>43</v>
      </c>
      <c r="F1082" t="s">
        <v>29</v>
      </c>
      <c r="G1082" s="2">
        <v>38</v>
      </c>
      <c r="H1082" s="2">
        <v>351.55</v>
      </c>
      <c r="I1082" s="2">
        <v>453.3</v>
      </c>
      <c r="J1082" s="2">
        <v>13358.9</v>
      </c>
      <c r="K1082" s="2">
        <v>17225.400000000001</v>
      </c>
      <c r="L1082" s="2">
        <v>3866.5</v>
      </c>
    </row>
    <row r="1083" spans="1:12" x14ac:dyDescent="0.3">
      <c r="A1083" s="6">
        <f ca="1">Table1[[#This Row],[Date]]*1</f>
        <v>45600</v>
      </c>
      <c r="B1083" t="s">
        <v>36</v>
      </c>
      <c r="C1083" t="s">
        <v>6</v>
      </c>
      <c r="D1083" t="s">
        <v>7</v>
      </c>
      <c r="E1083" t="s">
        <v>35</v>
      </c>
      <c r="F1083" t="s">
        <v>32</v>
      </c>
      <c r="G1083" s="2">
        <v>11</v>
      </c>
      <c r="H1083" s="2">
        <v>630.41</v>
      </c>
      <c r="I1083" s="2">
        <v>847.08</v>
      </c>
      <c r="J1083" s="2">
        <v>6934.51</v>
      </c>
      <c r="K1083" s="2">
        <v>9317.8799999999992</v>
      </c>
      <c r="L1083" s="2">
        <v>2383.37</v>
      </c>
    </row>
    <row r="1084" spans="1:12" x14ac:dyDescent="0.3">
      <c r="A1084" s="6">
        <f ca="1">Table1[[#This Row],[Date]]*1</f>
        <v>45630</v>
      </c>
      <c r="B1084" t="s">
        <v>34</v>
      </c>
      <c r="C1084" t="s">
        <v>8</v>
      </c>
      <c r="D1084" t="s">
        <v>9</v>
      </c>
      <c r="E1084" t="s">
        <v>31</v>
      </c>
      <c r="F1084" t="s">
        <v>29</v>
      </c>
      <c r="G1084" s="2">
        <v>6</v>
      </c>
      <c r="H1084" s="2">
        <v>190.79</v>
      </c>
      <c r="I1084" s="2">
        <v>267.48</v>
      </c>
      <c r="J1084" s="2">
        <v>1144.74</v>
      </c>
      <c r="K1084" s="2">
        <v>1604.88</v>
      </c>
      <c r="L1084" s="2">
        <v>460.14</v>
      </c>
    </row>
    <row r="1085" spans="1:12" x14ac:dyDescent="0.3">
      <c r="A1085" s="6">
        <f ca="1">Table1[[#This Row],[Date]]*1</f>
        <v>45524</v>
      </c>
      <c r="B1085" t="s">
        <v>38</v>
      </c>
      <c r="C1085" t="s">
        <v>2</v>
      </c>
      <c r="D1085" t="s">
        <v>14</v>
      </c>
      <c r="E1085" t="s">
        <v>4</v>
      </c>
      <c r="F1085" t="s">
        <v>32</v>
      </c>
      <c r="G1085" s="2">
        <v>26</v>
      </c>
      <c r="H1085" s="2">
        <v>329.37</v>
      </c>
      <c r="I1085" s="2">
        <v>390.12</v>
      </c>
      <c r="J1085" s="2">
        <v>8563.6200000000008</v>
      </c>
      <c r="K1085" s="2">
        <v>10143.120000000001</v>
      </c>
      <c r="L1085" s="2">
        <v>1579.5</v>
      </c>
    </row>
    <row r="1086" spans="1:12" x14ac:dyDescent="0.3">
      <c r="A1086" s="6">
        <f ca="1">Table1[[#This Row],[Date]]*1</f>
        <v>45647</v>
      </c>
      <c r="B1086" t="s">
        <v>44</v>
      </c>
      <c r="C1086" t="s">
        <v>2</v>
      </c>
      <c r="D1086" t="s">
        <v>5</v>
      </c>
      <c r="E1086" t="s">
        <v>40</v>
      </c>
      <c r="F1086" t="s">
        <v>29</v>
      </c>
      <c r="G1086" s="2">
        <v>50</v>
      </c>
      <c r="H1086" s="2">
        <v>274.66000000000003</v>
      </c>
      <c r="I1086" s="2">
        <v>368.57</v>
      </c>
      <c r="J1086" s="2">
        <v>13733</v>
      </c>
      <c r="K1086" s="2">
        <v>18428.5</v>
      </c>
      <c r="L1086" s="2">
        <v>4695.5</v>
      </c>
    </row>
    <row r="1087" spans="1:12" x14ac:dyDescent="0.3">
      <c r="A1087" s="6">
        <f ca="1">Table1[[#This Row],[Date]]*1</f>
        <v>45500</v>
      </c>
      <c r="B1087" t="s">
        <v>44</v>
      </c>
      <c r="C1087" t="s">
        <v>2</v>
      </c>
      <c r="D1087" t="s">
        <v>3</v>
      </c>
      <c r="E1087" t="s">
        <v>43</v>
      </c>
      <c r="F1087" t="s">
        <v>32</v>
      </c>
      <c r="G1087" s="2">
        <v>19</v>
      </c>
      <c r="H1087" s="2">
        <v>607.89</v>
      </c>
      <c r="I1087" s="2">
        <v>672.18</v>
      </c>
      <c r="J1087" s="2">
        <v>11549.91</v>
      </c>
      <c r="K1087" s="2">
        <v>12771.42</v>
      </c>
      <c r="L1087" s="2">
        <v>1221.51</v>
      </c>
    </row>
    <row r="1088" spans="1:12" x14ac:dyDescent="0.3">
      <c r="A1088" s="6">
        <f ca="1">Table1[[#This Row],[Date]]*1</f>
        <v>45314</v>
      </c>
      <c r="B1088" t="s">
        <v>36</v>
      </c>
      <c r="C1088" t="s">
        <v>6</v>
      </c>
      <c r="D1088" t="s">
        <v>7</v>
      </c>
      <c r="E1088" t="s">
        <v>40</v>
      </c>
      <c r="F1088" t="s">
        <v>29</v>
      </c>
      <c r="G1088" s="2">
        <v>15</v>
      </c>
      <c r="H1088" s="2">
        <v>305.8</v>
      </c>
      <c r="I1088" s="2">
        <v>442.69</v>
      </c>
      <c r="J1088" s="2">
        <v>4587</v>
      </c>
      <c r="K1088" s="2">
        <v>6640.35</v>
      </c>
      <c r="L1088" s="2">
        <v>2053.35</v>
      </c>
    </row>
    <row r="1089" spans="1:12" x14ac:dyDescent="0.3">
      <c r="A1089" s="6">
        <f ca="1">Table1[[#This Row],[Date]]*1</f>
        <v>45450</v>
      </c>
      <c r="B1089" t="s">
        <v>45</v>
      </c>
      <c r="C1089" t="s">
        <v>8</v>
      </c>
      <c r="D1089" t="s">
        <v>16</v>
      </c>
      <c r="E1089" t="s">
        <v>33</v>
      </c>
      <c r="F1089" t="s">
        <v>32</v>
      </c>
      <c r="G1089" s="2">
        <v>25</v>
      </c>
      <c r="H1089" s="2">
        <v>614.57000000000005</v>
      </c>
      <c r="I1089" s="2">
        <v>686.47</v>
      </c>
      <c r="J1089" s="2">
        <v>15364.25</v>
      </c>
      <c r="K1089" s="2">
        <v>17161.75</v>
      </c>
      <c r="L1089" s="2">
        <v>1797.5</v>
      </c>
    </row>
    <row r="1090" spans="1:12" x14ac:dyDescent="0.3">
      <c r="A1090" s="6">
        <f ca="1">Table1[[#This Row],[Date]]*1</f>
        <v>45295</v>
      </c>
      <c r="B1090" t="s">
        <v>34</v>
      </c>
      <c r="C1090" t="s">
        <v>2</v>
      </c>
      <c r="D1090" t="s">
        <v>3</v>
      </c>
      <c r="E1090" t="s">
        <v>43</v>
      </c>
      <c r="F1090" t="s">
        <v>32</v>
      </c>
      <c r="G1090" s="2">
        <v>16</v>
      </c>
      <c r="H1090" s="2">
        <v>880.56</v>
      </c>
      <c r="I1090" s="2">
        <v>1302.52</v>
      </c>
      <c r="J1090" s="2">
        <v>14088.96</v>
      </c>
      <c r="K1090" s="2">
        <v>20840.32</v>
      </c>
      <c r="L1090" s="2">
        <v>6751.36</v>
      </c>
    </row>
    <row r="1091" spans="1:12" x14ac:dyDescent="0.3">
      <c r="A1091" s="6">
        <f ca="1">Table1[[#This Row],[Date]]*1</f>
        <v>45333</v>
      </c>
      <c r="B1091" t="s">
        <v>36</v>
      </c>
      <c r="C1091" t="s">
        <v>11</v>
      </c>
      <c r="D1091" t="s">
        <v>12</v>
      </c>
      <c r="E1091" t="s">
        <v>31</v>
      </c>
      <c r="F1091" t="s">
        <v>29</v>
      </c>
      <c r="G1091" s="2">
        <v>39</v>
      </c>
      <c r="H1091" s="2">
        <v>276.64</v>
      </c>
      <c r="I1091" s="2">
        <v>401.93</v>
      </c>
      <c r="J1091" s="2">
        <v>10788.96</v>
      </c>
      <c r="K1091" s="2">
        <v>15675.27</v>
      </c>
      <c r="L1091" s="2">
        <v>4886.3100000000004</v>
      </c>
    </row>
    <row r="1092" spans="1:12" x14ac:dyDescent="0.3">
      <c r="A1092" s="6">
        <f ca="1">Table1[[#This Row],[Date]]*1</f>
        <v>45628</v>
      </c>
      <c r="B1092" t="s">
        <v>44</v>
      </c>
      <c r="C1092" t="s">
        <v>6</v>
      </c>
      <c r="D1092" t="s">
        <v>7</v>
      </c>
      <c r="E1092" t="s">
        <v>31</v>
      </c>
      <c r="F1092" t="s">
        <v>32</v>
      </c>
      <c r="G1092" s="2">
        <v>15</v>
      </c>
      <c r="H1092" s="2">
        <v>106.57</v>
      </c>
      <c r="I1092" s="2">
        <v>144.63999999999999</v>
      </c>
      <c r="J1092" s="2">
        <v>1598.55</v>
      </c>
      <c r="K1092" s="2">
        <v>2169.6</v>
      </c>
      <c r="L1092" s="2">
        <v>571.04999999999995</v>
      </c>
    </row>
    <row r="1093" spans="1:12" x14ac:dyDescent="0.3">
      <c r="A1093" s="6">
        <f ca="1">Table1[[#This Row],[Date]]*1</f>
        <v>45406</v>
      </c>
      <c r="B1093" t="s">
        <v>37</v>
      </c>
      <c r="C1093" t="s">
        <v>11</v>
      </c>
      <c r="D1093" t="s">
        <v>13</v>
      </c>
      <c r="E1093" t="s">
        <v>33</v>
      </c>
      <c r="F1093" t="s">
        <v>32</v>
      </c>
      <c r="G1093" s="2">
        <v>36</v>
      </c>
      <c r="H1093" s="2">
        <v>704.68</v>
      </c>
      <c r="I1093" s="2">
        <v>993.13</v>
      </c>
      <c r="J1093" s="2">
        <v>25368.48</v>
      </c>
      <c r="K1093" s="2">
        <v>35752.68</v>
      </c>
      <c r="L1093" s="2">
        <v>10384.200000000001</v>
      </c>
    </row>
    <row r="1094" spans="1:12" x14ac:dyDescent="0.3">
      <c r="A1094" s="6">
        <f ca="1">Table1[[#This Row],[Date]]*1</f>
        <v>45545</v>
      </c>
      <c r="B1094" t="s">
        <v>38</v>
      </c>
      <c r="C1094" t="s">
        <v>11</v>
      </c>
      <c r="D1094" t="s">
        <v>12</v>
      </c>
      <c r="E1094" t="s">
        <v>4</v>
      </c>
      <c r="F1094" t="s">
        <v>29</v>
      </c>
      <c r="G1094" s="2">
        <v>46</v>
      </c>
      <c r="H1094" s="2">
        <v>578.35</v>
      </c>
      <c r="I1094" s="2">
        <v>837.57</v>
      </c>
      <c r="J1094" s="2">
        <v>26604.1</v>
      </c>
      <c r="K1094" s="2">
        <v>38528.22</v>
      </c>
      <c r="L1094" s="2">
        <v>11924.12</v>
      </c>
    </row>
    <row r="1095" spans="1:12" x14ac:dyDescent="0.3">
      <c r="A1095" s="6">
        <f ca="1">Table1[[#This Row],[Date]]*1</f>
        <v>45585</v>
      </c>
      <c r="B1095" t="s">
        <v>38</v>
      </c>
      <c r="C1095" t="s">
        <v>11</v>
      </c>
      <c r="D1095" t="s">
        <v>12</v>
      </c>
      <c r="E1095" t="s">
        <v>33</v>
      </c>
      <c r="F1095" t="s">
        <v>32</v>
      </c>
      <c r="G1095" s="2">
        <v>39</v>
      </c>
      <c r="H1095" s="2">
        <v>951.05</v>
      </c>
      <c r="I1095" s="2">
        <v>1083.1500000000001</v>
      </c>
      <c r="J1095" s="2">
        <v>37090.949999999997</v>
      </c>
      <c r="K1095" s="2">
        <v>42242.85</v>
      </c>
      <c r="L1095" s="2">
        <v>5151.8999999999996</v>
      </c>
    </row>
    <row r="1096" spans="1:12" x14ac:dyDescent="0.3">
      <c r="A1096" s="6">
        <f ca="1">Table1[[#This Row],[Date]]*1</f>
        <v>45558</v>
      </c>
      <c r="B1096" t="s">
        <v>34</v>
      </c>
      <c r="C1096" t="s">
        <v>6</v>
      </c>
      <c r="D1096" t="s">
        <v>10</v>
      </c>
      <c r="E1096" t="s">
        <v>33</v>
      </c>
      <c r="F1096" t="s">
        <v>32</v>
      </c>
      <c r="G1096" s="2">
        <v>26</v>
      </c>
      <c r="H1096" s="2">
        <v>931.56</v>
      </c>
      <c r="I1096" s="2">
        <v>1033.31</v>
      </c>
      <c r="J1096" s="2">
        <v>24220.560000000001</v>
      </c>
      <c r="K1096" s="2">
        <v>26866.06</v>
      </c>
      <c r="L1096" s="2">
        <v>2645.5</v>
      </c>
    </row>
    <row r="1097" spans="1:12" x14ac:dyDescent="0.3">
      <c r="A1097" s="6">
        <f ca="1">Table1[[#This Row],[Date]]*1</f>
        <v>45338</v>
      </c>
      <c r="B1097" t="s">
        <v>44</v>
      </c>
      <c r="C1097" t="s">
        <v>6</v>
      </c>
      <c r="D1097" t="s">
        <v>17</v>
      </c>
      <c r="E1097" t="s">
        <v>31</v>
      </c>
      <c r="F1097" t="s">
        <v>29</v>
      </c>
      <c r="G1097" s="2">
        <v>38</v>
      </c>
      <c r="H1097" s="2">
        <v>683.95</v>
      </c>
      <c r="I1097" s="2">
        <v>785.83</v>
      </c>
      <c r="J1097" s="2">
        <v>25990.1</v>
      </c>
      <c r="K1097" s="2">
        <v>29861.54</v>
      </c>
      <c r="L1097" s="2">
        <v>3871.44</v>
      </c>
    </row>
    <row r="1098" spans="1:12" x14ac:dyDescent="0.3">
      <c r="A1098" s="6">
        <f ca="1">Table1[[#This Row],[Date]]*1</f>
        <v>45575</v>
      </c>
      <c r="B1098" t="s">
        <v>45</v>
      </c>
      <c r="C1098" t="s">
        <v>6</v>
      </c>
      <c r="D1098" t="s">
        <v>10</v>
      </c>
      <c r="E1098" t="s">
        <v>35</v>
      </c>
      <c r="F1098" t="s">
        <v>29</v>
      </c>
      <c r="G1098" s="2">
        <v>1</v>
      </c>
      <c r="H1098" s="2">
        <v>841.34</v>
      </c>
      <c r="I1098" s="2">
        <v>992.17</v>
      </c>
      <c r="J1098" s="2">
        <v>841.34</v>
      </c>
      <c r="K1098" s="2">
        <v>992.17</v>
      </c>
      <c r="L1098" s="2">
        <v>150.83000000000001</v>
      </c>
    </row>
    <row r="1099" spans="1:12" x14ac:dyDescent="0.3">
      <c r="A1099" s="6">
        <f ca="1">Table1[[#This Row],[Date]]*1</f>
        <v>45447</v>
      </c>
      <c r="B1099" t="s">
        <v>39</v>
      </c>
      <c r="C1099" t="s">
        <v>6</v>
      </c>
      <c r="D1099" t="s">
        <v>17</v>
      </c>
      <c r="E1099" t="s">
        <v>31</v>
      </c>
      <c r="F1099" t="s">
        <v>29</v>
      </c>
      <c r="G1099" s="2">
        <v>47</v>
      </c>
      <c r="H1099" s="2">
        <v>752.35</v>
      </c>
      <c r="I1099" s="2">
        <v>999.38</v>
      </c>
      <c r="J1099" s="2">
        <v>35360.449999999997</v>
      </c>
      <c r="K1099" s="2">
        <v>46970.86</v>
      </c>
      <c r="L1099" s="2">
        <v>11610.41</v>
      </c>
    </row>
    <row r="1100" spans="1:12" x14ac:dyDescent="0.3">
      <c r="A1100" s="6">
        <f ca="1">Table1[[#This Row],[Date]]*1</f>
        <v>45524</v>
      </c>
      <c r="B1100" t="s">
        <v>36</v>
      </c>
      <c r="C1100" t="s">
        <v>11</v>
      </c>
      <c r="D1100" t="s">
        <v>13</v>
      </c>
      <c r="E1100" t="s">
        <v>4</v>
      </c>
      <c r="F1100" t="s">
        <v>32</v>
      </c>
      <c r="G1100" s="2">
        <v>32</v>
      </c>
      <c r="H1100" s="2">
        <v>899.05</v>
      </c>
      <c r="I1100" s="2">
        <v>1326.76</v>
      </c>
      <c r="J1100" s="2">
        <v>28769.599999999999</v>
      </c>
      <c r="K1100" s="2">
        <v>42456.32</v>
      </c>
      <c r="L1100" s="2">
        <v>13686.72</v>
      </c>
    </row>
    <row r="1101" spans="1:12" x14ac:dyDescent="0.3">
      <c r="A1101" s="6">
        <f ca="1">Table1[[#This Row],[Date]]*1</f>
        <v>45464</v>
      </c>
      <c r="B1101" t="s">
        <v>39</v>
      </c>
      <c r="C1101" t="s">
        <v>8</v>
      </c>
      <c r="D1101" t="s">
        <v>42</v>
      </c>
      <c r="E1101" t="s">
        <v>33</v>
      </c>
      <c r="F1101" t="s">
        <v>29</v>
      </c>
      <c r="G1101" s="2">
        <v>15</v>
      </c>
      <c r="H1101" s="2">
        <v>495.5</v>
      </c>
      <c r="I1101" s="2">
        <v>732.69</v>
      </c>
      <c r="J1101" s="2">
        <v>7432.5</v>
      </c>
      <c r="K1101" s="2">
        <v>10990.35</v>
      </c>
      <c r="L1101" s="2">
        <v>3557.85</v>
      </c>
    </row>
    <row r="1102" spans="1:12" x14ac:dyDescent="0.3">
      <c r="A1102" s="6">
        <f ca="1">Table1[[#This Row],[Date]]*1</f>
        <v>45573</v>
      </c>
      <c r="B1102" t="s">
        <v>38</v>
      </c>
      <c r="C1102" t="s">
        <v>2</v>
      </c>
      <c r="D1102" t="s">
        <v>14</v>
      </c>
      <c r="E1102" t="s">
        <v>33</v>
      </c>
      <c r="F1102" t="s">
        <v>29</v>
      </c>
      <c r="G1102" s="2">
        <v>38</v>
      </c>
      <c r="H1102" s="2">
        <v>813.85</v>
      </c>
      <c r="I1102" s="2">
        <v>1000.97</v>
      </c>
      <c r="J1102" s="2">
        <v>30926.3</v>
      </c>
      <c r="K1102" s="2">
        <v>38036.86</v>
      </c>
      <c r="L1102" s="2">
        <v>7110.56</v>
      </c>
    </row>
    <row r="1103" spans="1:12" x14ac:dyDescent="0.3">
      <c r="A1103" s="6">
        <f ca="1">Table1[[#This Row],[Date]]*1</f>
        <v>45381</v>
      </c>
      <c r="B1103" t="s">
        <v>36</v>
      </c>
      <c r="C1103" t="s">
        <v>8</v>
      </c>
      <c r="D1103" t="s">
        <v>16</v>
      </c>
      <c r="E1103" t="s">
        <v>35</v>
      </c>
      <c r="F1103" t="s">
        <v>32</v>
      </c>
      <c r="G1103" s="2">
        <v>27</v>
      </c>
      <c r="H1103" s="2">
        <v>190.54</v>
      </c>
      <c r="I1103" s="2">
        <v>247.3</v>
      </c>
      <c r="J1103" s="2">
        <v>5144.58</v>
      </c>
      <c r="K1103" s="2">
        <v>6677.1</v>
      </c>
      <c r="L1103" s="2">
        <v>1532.52</v>
      </c>
    </row>
    <row r="1104" spans="1:12" x14ac:dyDescent="0.3">
      <c r="A1104" s="6">
        <f ca="1">Table1[[#This Row],[Date]]*1</f>
        <v>45572</v>
      </c>
      <c r="B1104" t="s">
        <v>45</v>
      </c>
      <c r="C1104" t="s">
        <v>8</v>
      </c>
      <c r="D1104" t="s">
        <v>42</v>
      </c>
      <c r="E1104" t="s">
        <v>4</v>
      </c>
      <c r="F1104" t="s">
        <v>32</v>
      </c>
      <c r="G1104" s="2">
        <v>31</v>
      </c>
      <c r="H1104" s="2">
        <v>504.86</v>
      </c>
      <c r="I1104" s="2">
        <v>734.96</v>
      </c>
      <c r="J1104" s="2">
        <v>15650.66</v>
      </c>
      <c r="K1104" s="2">
        <v>22783.759999999998</v>
      </c>
      <c r="L1104" s="2">
        <v>7133.1</v>
      </c>
    </row>
    <row r="1105" spans="1:12" x14ac:dyDescent="0.3">
      <c r="A1105" s="6">
        <f ca="1">Table1[[#This Row],[Date]]*1</f>
        <v>45538</v>
      </c>
      <c r="B1105" t="s">
        <v>28</v>
      </c>
      <c r="C1105" t="s">
        <v>8</v>
      </c>
      <c r="D1105" t="s">
        <v>42</v>
      </c>
      <c r="E1105" t="s">
        <v>35</v>
      </c>
      <c r="F1105" t="s">
        <v>29</v>
      </c>
      <c r="G1105" s="2">
        <v>50</v>
      </c>
      <c r="H1105" s="2">
        <v>826.65</v>
      </c>
      <c r="I1105" s="2">
        <v>1150.75</v>
      </c>
      <c r="J1105" s="2">
        <v>41332.5</v>
      </c>
      <c r="K1105" s="2">
        <v>57537.5</v>
      </c>
      <c r="L1105" s="2">
        <v>16205</v>
      </c>
    </row>
    <row r="1106" spans="1:12" x14ac:dyDescent="0.3">
      <c r="A1106" s="6">
        <f ca="1">Table1[[#This Row],[Date]]*1</f>
        <v>45439</v>
      </c>
      <c r="B1106" t="s">
        <v>44</v>
      </c>
      <c r="C1106" t="s">
        <v>6</v>
      </c>
      <c r="D1106" t="s">
        <v>7</v>
      </c>
      <c r="E1106" t="s">
        <v>43</v>
      </c>
      <c r="F1106" t="s">
        <v>29</v>
      </c>
      <c r="G1106" s="2">
        <v>18</v>
      </c>
      <c r="H1106" s="2">
        <v>602.76</v>
      </c>
      <c r="I1106" s="2">
        <v>721.63</v>
      </c>
      <c r="J1106" s="2">
        <v>10849.68</v>
      </c>
      <c r="K1106" s="2">
        <v>12989.34</v>
      </c>
      <c r="L1106" s="2">
        <v>2139.66</v>
      </c>
    </row>
    <row r="1107" spans="1:12" x14ac:dyDescent="0.3">
      <c r="A1107" s="6">
        <f ca="1">Table1[[#This Row],[Date]]*1</f>
        <v>45655</v>
      </c>
      <c r="B1107" t="s">
        <v>36</v>
      </c>
      <c r="C1107" t="s">
        <v>8</v>
      </c>
      <c r="D1107" t="s">
        <v>42</v>
      </c>
      <c r="E1107" t="s">
        <v>35</v>
      </c>
      <c r="F1107" t="s">
        <v>29</v>
      </c>
      <c r="G1107" s="2">
        <v>37</v>
      </c>
      <c r="H1107" s="2">
        <v>201.02</v>
      </c>
      <c r="I1107" s="2">
        <v>250.38</v>
      </c>
      <c r="J1107" s="2">
        <v>7437.74</v>
      </c>
      <c r="K1107" s="2">
        <v>9264.06</v>
      </c>
      <c r="L1107" s="2">
        <v>1826.32</v>
      </c>
    </row>
    <row r="1108" spans="1:12" x14ac:dyDescent="0.3">
      <c r="A1108" s="6">
        <f ca="1">Table1[[#This Row],[Date]]*1</f>
        <v>45456</v>
      </c>
      <c r="B1108" t="s">
        <v>44</v>
      </c>
      <c r="C1108" t="s">
        <v>11</v>
      </c>
      <c r="D1108" t="s">
        <v>12</v>
      </c>
      <c r="E1108" t="s">
        <v>35</v>
      </c>
      <c r="F1108" t="s">
        <v>32</v>
      </c>
      <c r="G1108" s="2">
        <v>1</v>
      </c>
      <c r="H1108" s="2">
        <v>194.04</v>
      </c>
      <c r="I1108" s="2">
        <v>243.01</v>
      </c>
      <c r="J1108" s="2">
        <v>194.04</v>
      </c>
      <c r="K1108" s="2">
        <v>243.01</v>
      </c>
      <c r="L1108" s="2">
        <v>48.97</v>
      </c>
    </row>
    <row r="1109" spans="1:12" x14ac:dyDescent="0.3">
      <c r="A1109" s="6">
        <f ca="1">Table1[[#This Row],[Date]]*1</f>
        <v>45391</v>
      </c>
      <c r="B1109" t="s">
        <v>38</v>
      </c>
      <c r="C1109" t="s">
        <v>6</v>
      </c>
      <c r="D1109" t="s">
        <v>10</v>
      </c>
      <c r="E1109" t="s">
        <v>43</v>
      </c>
      <c r="F1109" t="s">
        <v>29</v>
      </c>
      <c r="G1109" s="2">
        <v>27</v>
      </c>
      <c r="H1109" s="2">
        <v>360.09</v>
      </c>
      <c r="I1109" s="2">
        <v>460.34</v>
      </c>
      <c r="J1109" s="2">
        <v>9722.43</v>
      </c>
      <c r="K1109" s="2">
        <v>12429.18</v>
      </c>
      <c r="L1109" s="2">
        <v>2706.75</v>
      </c>
    </row>
    <row r="1110" spans="1:12" x14ac:dyDescent="0.3">
      <c r="A1110" s="6">
        <f ca="1">Table1[[#This Row],[Date]]*1</f>
        <v>45447</v>
      </c>
      <c r="B1110" t="s">
        <v>36</v>
      </c>
      <c r="C1110" t="s">
        <v>11</v>
      </c>
      <c r="D1110" t="s">
        <v>15</v>
      </c>
      <c r="E1110" t="s">
        <v>31</v>
      </c>
      <c r="F1110" t="s">
        <v>32</v>
      </c>
      <c r="G1110" s="2">
        <v>14</v>
      </c>
      <c r="H1110" s="2">
        <v>161.16</v>
      </c>
      <c r="I1110" s="2">
        <v>205.21</v>
      </c>
      <c r="J1110" s="2">
        <v>2256.2399999999998</v>
      </c>
      <c r="K1110" s="2">
        <v>2872.94</v>
      </c>
      <c r="L1110" s="2">
        <v>616.70000000000005</v>
      </c>
    </row>
    <row r="1111" spans="1:12" x14ac:dyDescent="0.3">
      <c r="A1111" s="6">
        <f ca="1">Table1[[#This Row],[Date]]*1</f>
        <v>45544</v>
      </c>
      <c r="B1111" t="s">
        <v>34</v>
      </c>
      <c r="C1111" t="s">
        <v>11</v>
      </c>
      <c r="D1111" t="s">
        <v>13</v>
      </c>
      <c r="E1111" t="s">
        <v>4</v>
      </c>
      <c r="F1111" t="s">
        <v>29</v>
      </c>
      <c r="G1111" s="2">
        <v>2</v>
      </c>
      <c r="H1111" s="2">
        <v>239.95</v>
      </c>
      <c r="I1111" s="2">
        <v>279.38</v>
      </c>
      <c r="J1111" s="2">
        <v>479.9</v>
      </c>
      <c r="K1111" s="2">
        <v>558.76</v>
      </c>
      <c r="L1111" s="2">
        <v>78.86</v>
      </c>
    </row>
    <row r="1112" spans="1:12" x14ac:dyDescent="0.3">
      <c r="A1112" s="6">
        <f ca="1">Table1[[#This Row],[Date]]*1</f>
        <v>45320</v>
      </c>
      <c r="B1112" t="s">
        <v>28</v>
      </c>
      <c r="C1112" t="s">
        <v>6</v>
      </c>
      <c r="D1112" t="s">
        <v>7</v>
      </c>
      <c r="E1112" t="s">
        <v>43</v>
      </c>
      <c r="F1112" t="s">
        <v>32</v>
      </c>
      <c r="G1112" s="2">
        <v>4</v>
      </c>
      <c r="H1112" s="2">
        <v>64.260000000000005</v>
      </c>
      <c r="I1112" s="2">
        <v>79.900000000000006</v>
      </c>
      <c r="J1112" s="2">
        <v>257.04000000000002</v>
      </c>
      <c r="K1112" s="2">
        <v>319.60000000000002</v>
      </c>
      <c r="L1112" s="2">
        <v>62.56</v>
      </c>
    </row>
    <row r="1113" spans="1:12" x14ac:dyDescent="0.3">
      <c r="A1113" s="6">
        <f ca="1">Table1[[#This Row],[Date]]*1</f>
        <v>45352</v>
      </c>
      <c r="B1113" t="s">
        <v>44</v>
      </c>
      <c r="C1113" t="s">
        <v>8</v>
      </c>
      <c r="D1113" t="s">
        <v>42</v>
      </c>
      <c r="E1113" t="s">
        <v>35</v>
      </c>
      <c r="F1113" t="s">
        <v>29</v>
      </c>
      <c r="G1113" s="2">
        <v>13</v>
      </c>
      <c r="H1113" s="2">
        <v>870.17</v>
      </c>
      <c r="I1113" s="2">
        <v>1302.9100000000001</v>
      </c>
      <c r="J1113" s="2">
        <v>11312.21</v>
      </c>
      <c r="K1113" s="2">
        <v>16937.830000000002</v>
      </c>
      <c r="L1113" s="2">
        <v>5625.62</v>
      </c>
    </row>
    <row r="1114" spans="1:12" x14ac:dyDescent="0.3">
      <c r="A1114" s="6">
        <f ca="1">Table1[[#This Row],[Date]]*1</f>
        <v>45529</v>
      </c>
      <c r="B1114" t="s">
        <v>41</v>
      </c>
      <c r="C1114" t="s">
        <v>8</v>
      </c>
      <c r="D1114" t="s">
        <v>9</v>
      </c>
      <c r="E1114" t="s">
        <v>4</v>
      </c>
      <c r="F1114" t="s">
        <v>29</v>
      </c>
      <c r="G1114" s="2">
        <v>21</v>
      </c>
      <c r="H1114" s="2">
        <v>287.95</v>
      </c>
      <c r="I1114" s="2">
        <v>348.15</v>
      </c>
      <c r="J1114" s="2">
        <v>6046.95</v>
      </c>
      <c r="K1114" s="2">
        <v>7311.15</v>
      </c>
      <c r="L1114" s="2">
        <v>1264.2</v>
      </c>
    </row>
    <row r="1115" spans="1:12" x14ac:dyDescent="0.3">
      <c r="A1115" s="6">
        <f ca="1">Table1[[#This Row],[Date]]*1</f>
        <v>45353</v>
      </c>
      <c r="B1115" t="s">
        <v>38</v>
      </c>
      <c r="C1115" t="s">
        <v>2</v>
      </c>
      <c r="D1115" t="s">
        <v>3</v>
      </c>
      <c r="E1115" t="s">
        <v>35</v>
      </c>
      <c r="F1115" t="s">
        <v>32</v>
      </c>
      <c r="G1115" s="2">
        <v>15</v>
      </c>
      <c r="H1115" s="2">
        <v>815.83</v>
      </c>
      <c r="I1115" s="2">
        <v>961.3</v>
      </c>
      <c r="J1115" s="2">
        <v>12237.45</v>
      </c>
      <c r="K1115" s="2">
        <v>14419.5</v>
      </c>
      <c r="L1115" s="2">
        <v>2182.0500000000002</v>
      </c>
    </row>
    <row r="1116" spans="1:12" x14ac:dyDescent="0.3">
      <c r="A1116" s="6">
        <f ca="1">Table1[[#This Row],[Date]]*1</f>
        <v>45354</v>
      </c>
      <c r="B1116" t="s">
        <v>39</v>
      </c>
      <c r="C1116" t="s">
        <v>2</v>
      </c>
      <c r="D1116" t="s">
        <v>14</v>
      </c>
      <c r="E1116" t="s">
        <v>33</v>
      </c>
      <c r="F1116" t="s">
        <v>32</v>
      </c>
      <c r="G1116" s="2">
        <v>45</v>
      </c>
      <c r="H1116" s="2">
        <v>790.49</v>
      </c>
      <c r="I1116" s="2">
        <v>1062.0899999999999</v>
      </c>
      <c r="J1116" s="2">
        <v>35572.050000000003</v>
      </c>
      <c r="K1116" s="2">
        <v>47794.05</v>
      </c>
      <c r="L1116" s="2">
        <v>12222</v>
      </c>
    </row>
    <row r="1117" spans="1:12" x14ac:dyDescent="0.3">
      <c r="A1117" s="6">
        <f ca="1">Table1[[#This Row],[Date]]*1</f>
        <v>45404</v>
      </c>
      <c r="B1117" t="s">
        <v>30</v>
      </c>
      <c r="C1117" t="s">
        <v>8</v>
      </c>
      <c r="D1117" t="s">
        <v>16</v>
      </c>
      <c r="E1117" t="s">
        <v>40</v>
      </c>
      <c r="F1117" t="s">
        <v>29</v>
      </c>
      <c r="G1117" s="2">
        <v>35</v>
      </c>
      <c r="H1117" s="2">
        <v>143.04</v>
      </c>
      <c r="I1117" s="2">
        <v>174.45</v>
      </c>
      <c r="J1117" s="2">
        <v>5006.3999999999996</v>
      </c>
      <c r="K1117" s="2">
        <v>6105.75</v>
      </c>
      <c r="L1117" s="2">
        <v>1099.3499999999999</v>
      </c>
    </row>
    <row r="1118" spans="1:12" x14ac:dyDescent="0.3">
      <c r="A1118" s="6">
        <f ca="1">Table1[[#This Row],[Date]]*1</f>
        <v>45397</v>
      </c>
      <c r="B1118" t="s">
        <v>36</v>
      </c>
      <c r="C1118" t="s">
        <v>11</v>
      </c>
      <c r="D1118" t="s">
        <v>15</v>
      </c>
      <c r="E1118" t="s">
        <v>43</v>
      </c>
      <c r="F1118" t="s">
        <v>29</v>
      </c>
      <c r="G1118" s="2">
        <v>22</v>
      </c>
      <c r="H1118" s="2">
        <v>205.33</v>
      </c>
      <c r="I1118" s="2">
        <v>249.24</v>
      </c>
      <c r="J1118" s="2">
        <v>4517.26</v>
      </c>
      <c r="K1118" s="2">
        <v>5483.28</v>
      </c>
      <c r="L1118" s="2">
        <v>966.02</v>
      </c>
    </row>
    <row r="1119" spans="1:12" x14ac:dyDescent="0.3">
      <c r="A1119" s="6">
        <f ca="1">Table1[[#This Row],[Date]]*1</f>
        <v>45537</v>
      </c>
      <c r="B1119" t="s">
        <v>39</v>
      </c>
      <c r="C1119" t="s">
        <v>8</v>
      </c>
      <c r="D1119" t="s">
        <v>42</v>
      </c>
      <c r="E1119" t="s">
        <v>35</v>
      </c>
      <c r="F1119" t="s">
        <v>32</v>
      </c>
      <c r="G1119" s="2">
        <v>40</v>
      </c>
      <c r="H1119" s="2">
        <v>403.98</v>
      </c>
      <c r="I1119" s="2">
        <v>521.28</v>
      </c>
      <c r="J1119" s="2">
        <v>16159.2</v>
      </c>
      <c r="K1119" s="2">
        <v>20851.2</v>
      </c>
      <c r="L1119" s="2">
        <v>4692</v>
      </c>
    </row>
    <row r="1120" spans="1:12" x14ac:dyDescent="0.3">
      <c r="A1120" s="6">
        <f ca="1">Table1[[#This Row],[Date]]*1</f>
        <v>45319</v>
      </c>
      <c r="B1120" t="s">
        <v>45</v>
      </c>
      <c r="C1120" t="s">
        <v>6</v>
      </c>
      <c r="D1120" t="s">
        <v>10</v>
      </c>
      <c r="E1120" t="s">
        <v>35</v>
      </c>
      <c r="F1120" t="s">
        <v>32</v>
      </c>
      <c r="G1120" s="2">
        <v>41</v>
      </c>
      <c r="H1120" s="2">
        <v>262.70999999999998</v>
      </c>
      <c r="I1120" s="2">
        <v>302.91000000000003</v>
      </c>
      <c r="J1120" s="2">
        <v>10771.11</v>
      </c>
      <c r="K1120" s="2">
        <v>12419.31</v>
      </c>
      <c r="L1120" s="2">
        <v>1648.2</v>
      </c>
    </row>
    <row r="1121" spans="1:12" x14ac:dyDescent="0.3">
      <c r="A1121" s="6">
        <f ca="1">Table1[[#This Row],[Date]]*1</f>
        <v>45421</v>
      </c>
      <c r="B1121" t="s">
        <v>28</v>
      </c>
      <c r="C1121" t="s">
        <v>6</v>
      </c>
      <c r="D1121" t="s">
        <v>7</v>
      </c>
      <c r="E1121" t="s">
        <v>31</v>
      </c>
      <c r="F1121" t="s">
        <v>29</v>
      </c>
      <c r="G1121" s="2">
        <v>38</v>
      </c>
      <c r="H1121" s="2">
        <v>801.21</v>
      </c>
      <c r="I1121" s="2">
        <v>1035.29</v>
      </c>
      <c r="J1121" s="2">
        <v>30445.98</v>
      </c>
      <c r="K1121" s="2">
        <v>39341.019999999997</v>
      </c>
      <c r="L1121" s="2">
        <v>8895.0400000000009</v>
      </c>
    </row>
    <row r="1122" spans="1:12" x14ac:dyDescent="0.3">
      <c r="A1122" s="6">
        <f ca="1">Table1[[#This Row],[Date]]*1</f>
        <v>45359</v>
      </c>
      <c r="B1122" t="s">
        <v>28</v>
      </c>
      <c r="C1122" t="s">
        <v>11</v>
      </c>
      <c r="D1122" t="s">
        <v>12</v>
      </c>
      <c r="E1122" t="s">
        <v>40</v>
      </c>
      <c r="F1122" t="s">
        <v>29</v>
      </c>
      <c r="G1122" s="2">
        <v>46</v>
      </c>
      <c r="H1122" s="2">
        <v>63.5</v>
      </c>
      <c r="I1122" s="2">
        <v>85.1</v>
      </c>
      <c r="J1122" s="2">
        <v>2921</v>
      </c>
      <c r="K1122" s="2">
        <v>3914.6</v>
      </c>
      <c r="L1122" s="2">
        <v>993.6</v>
      </c>
    </row>
    <row r="1123" spans="1:12" x14ac:dyDescent="0.3">
      <c r="A1123" s="6">
        <f ca="1">Table1[[#This Row],[Date]]*1</f>
        <v>45305</v>
      </c>
      <c r="B1123" t="s">
        <v>38</v>
      </c>
      <c r="C1123" t="s">
        <v>8</v>
      </c>
      <c r="D1123" t="s">
        <v>16</v>
      </c>
      <c r="E1123" t="s">
        <v>33</v>
      </c>
      <c r="F1123" t="s">
        <v>29</v>
      </c>
      <c r="G1123" s="2">
        <v>27</v>
      </c>
      <c r="H1123" s="2">
        <v>881.91</v>
      </c>
      <c r="I1123" s="2">
        <v>1123.4100000000001</v>
      </c>
      <c r="J1123" s="2">
        <v>23811.57</v>
      </c>
      <c r="K1123" s="2">
        <v>30332.07</v>
      </c>
      <c r="L1123" s="2">
        <v>6520.5</v>
      </c>
    </row>
    <row r="1124" spans="1:12" x14ac:dyDescent="0.3">
      <c r="A1124" s="6">
        <f ca="1">Table1[[#This Row],[Date]]*1</f>
        <v>45653</v>
      </c>
      <c r="B1124" t="s">
        <v>38</v>
      </c>
      <c r="C1124" t="s">
        <v>11</v>
      </c>
      <c r="D1124" t="s">
        <v>15</v>
      </c>
      <c r="E1124" t="s">
        <v>33</v>
      </c>
      <c r="F1124" t="s">
        <v>29</v>
      </c>
      <c r="G1124" s="2">
        <v>50</v>
      </c>
      <c r="H1124" s="2">
        <v>495.09</v>
      </c>
      <c r="I1124" s="2">
        <v>551.63</v>
      </c>
      <c r="J1124" s="2">
        <v>24754.5</v>
      </c>
      <c r="K1124" s="2">
        <v>27581.5</v>
      </c>
      <c r="L1124" s="2">
        <v>2827</v>
      </c>
    </row>
    <row r="1125" spans="1:12" x14ac:dyDescent="0.3">
      <c r="A1125" s="6">
        <f ca="1">Table1[[#This Row],[Date]]*1</f>
        <v>45319</v>
      </c>
      <c r="B1125" t="s">
        <v>39</v>
      </c>
      <c r="C1125" t="s">
        <v>6</v>
      </c>
      <c r="D1125" t="s">
        <v>7</v>
      </c>
      <c r="E1125" t="s">
        <v>40</v>
      </c>
      <c r="F1125" t="s">
        <v>32</v>
      </c>
      <c r="G1125" s="2">
        <v>50</v>
      </c>
      <c r="H1125" s="2">
        <v>470.97</v>
      </c>
      <c r="I1125" s="2">
        <v>698.22</v>
      </c>
      <c r="J1125" s="2">
        <v>23548.5</v>
      </c>
      <c r="K1125" s="2">
        <v>34911</v>
      </c>
      <c r="L1125" s="2">
        <v>11362.5</v>
      </c>
    </row>
    <row r="1126" spans="1:12" x14ac:dyDescent="0.3">
      <c r="A1126" s="6">
        <f ca="1">Table1[[#This Row],[Date]]*1</f>
        <v>45630</v>
      </c>
      <c r="B1126" t="s">
        <v>39</v>
      </c>
      <c r="C1126" t="s">
        <v>6</v>
      </c>
      <c r="D1126" t="s">
        <v>10</v>
      </c>
      <c r="E1126" t="s">
        <v>35</v>
      </c>
      <c r="F1126" t="s">
        <v>32</v>
      </c>
      <c r="G1126" s="2">
        <v>26</v>
      </c>
      <c r="H1126" s="2">
        <v>827.6</v>
      </c>
      <c r="I1126" s="2">
        <v>1202.3800000000001</v>
      </c>
      <c r="J1126" s="2">
        <v>21517.599999999999</v>
      </c>
      <c r="K1126" s="2">
        <v>31261.88</v>
      </c>
      <c r="L1126" s="2">
        <v>9744.2800000000007</v>
      </c>
    </row>
    <row r="1127" spans="1:12" x14ac:dyDescent="0.3">
      <c r="A1127" s="6">
        <f ca="1">Table1[[#This Row],[Date]]*1</f>
        <v>45404</v>
      </c>
      <c r="B1127" t="s">
        <v>44</v>
      </c>
      <c r="C1127" t="s">
        <v>2</v>
      </c>
      <c r="D1127" t="s">
        <v>3</v>
      </c>
      <c r="E1127" t="s">
        <v>4</v>
      </c>
      <c r="F1127" t="s">
        <v>32</v>
      </c>
      <c r="G1127" s="2">
        <v>36</v>
      </c>
      <c r="H1127" s="2">
        <v>994.85</v>
      </c>
      <c r="I1127" s="2">
        <v>1165.27</v>
      </c>
      <c r="J1127" s="2">
        <v>35814.6</v>
      </c>
      <c r="K1127" s="2">
        <v>41949.72</v>
      </c>
      <c r="L1127" s="2">
        <v>6135.12</v>
      </c>
    </row>
    <row r="1128" spans="1:12" x14ac:dyDescent="0.3">
      <c r="A1128" s="6">
        <f ca="1">Table1[[#This Row],[Date]]*1</f>
        <v>45475</v>
      </c>
      <c r="B1128" t="s">
        <v>41</v>
      </c>
      <c r="C1128" t="s">
        <v>2</v>
      </c>
      <c r="D1128" t="s">
        <v>5</v>
      </c>
      <c r="E1128" t="s">
        <v>35</v>
      </c>
      <c r="F1128" t="s">
        <v>32</v>
      </c>
      <c r="G1128" s="2">
        <v>10</v>
      </c>
      <c r="H1128" s="2">
        <v>533.67999999999995</v>
      </c>
      <c r="I1128" s="2">
        <v>610.66999999999996</v>
      </c>
      <c r="J1128" s="2">
        <v>5336.8</v>
      </c>
      <c r="K1128" s="2">
        <v>6106.7</v>
      </c>
      <c r="L1128" s="2">
        <v>769.9</v>
      </c>
    </row>
    <row r="1129" spans="1:12" x14ac:dyDescent="0.3">
      <c r="A1129" s="6">
        <f ca="1">Table1[[#This Row],[Date]]*1</f>
        <v>45295</v>
      </c>
      <c r="B1129" t="s">
        <v>41</v>
      </c>
      <c r="C1129" t="s">
        <v>11</v>
      </c>
      <c r="D1129" t="s">
        <v>12</v>
      </c>
      <c r="E1129" t="s">
        <v>35</v>
      </c>
      <c r="F1129" t="s">
        <v>32</v>
      </c>
      <c r="G1129" s="2">
        <v>38</v>
      </c>
      <c r="H1129" s="2">
        <v>582.72</v>
      </c>
      <c r="I1129" s="2">
        <v>837.15</v>
      </c>
      <c r="J1129" s="2">
        <v>22143.360000000001</v>
      </c>
      <c r="K1129" s="2">
        <v>31811.7</v>
      </c>
      <c r="L1129" s="2">
        <v>9668.34</v>
      </c>
    </row>
    <row r="1130" spans="1:12" x14ac:dyDescent="0.3">
      <c r="A1130" s="6">
        <f ca="1">Table1[[#This Row],[Date]]*1</f>
        <v>45455</v>
      </c>
      <c r="B1130" t="s">
        <v>38</v>
      </c>
      <c r="C1130" t="s">
        <v>11</v>
      </c>
      <c r="D1130" t="s">
        <v>15</v>
      </c>
      <c r="E1130" t="s">
        <v>31</v>
      </c>
      <c r="F1130" t="s">
        <v>32</v>
      </c>
      <c r="G1130" s="2">
        <v>31</v>
      </c>
      <c r="H1130" s="2">
        <v>313.73</v>
      </c>
      <c r="I1130" s="2">
        <v>424.38</v>
      </c>
      <c r="J1130" s="2">
        <v>9725.6299999999992</v>
      </c>
      <c r="K1130" s="2">
        <v>13155.78</v>
      </c>
      <c r="L1130" s="2">
        <v>3430.15</v>
      </c>
    </row>
    <row r="1131" spans="1:12" x14ac:dyDescent="0.3">
      <c r="A1131" s="6">
        <f ca="1">Table1[[#This Row],[Date]]*1</f>
        <v>45433</v>
      </c>
      <c r="B1131" t="s">
        <v>34</v>
      </c>
      <c r="C1131" t="s">
        <v>6</v>
      </c>
      <c r="D1131" t="s">
        <v>7</v>
      </c>
      <c r="E1131" t="s">
        <v>40</v>
      </c>
      <c r="F1131" t="s">
        <v>32</v>
      </c>
      <c r="G1131" s="2">
        <v>37</v>
      </c>
      <c r="H1131" s="2">
        <v>664.58</v>
      </c>
      <c r="I1131" s="2">
        <v>871.24</v>
      </c>
      <c r="J1131" s="2">
        <v>24589.46</v>
      </c>
      <c r="K1131" s="2">
        <v>32235.88</v>
      </c>
      <c r="L1131" s="2">
        <v>7646.42</v>
      </c>
    </row>
    <row r="1132" spans="1:12" x14ac:dyDescent="0.3">
      <c r="A1132" s="6">
        <f ca="1">Table1[[#This Row],[Date]]*1</f>
        <v>45343</v>
      </c>
      <c r="B1132" t="s">
        <v>28</v>
      </c>
      <c r="C1132" t="s">
        <v>11</v>
      </c>
      <c r="D1132" t="s">
        <v>13</v>
      </c>
      <c r="E1132" t="s">
        <v>33</v>
      </c>
      <c r="F1132" t="s">
        <v>32</v>
      </c>
      <c r="G1132" s="2">
        <v>25</v>
      </c>
      <c r="H1132" s="2">
        <v>678.78</v>
      </c>
      <c r="I1132" s="2">
        <v>886.75</v>
      </c>
      <c r="J1132" s="2">
        <v>16969.5</v>
      </c>
      <c r="K1132" s="2">
        <v>22168.75</v>
      </c>
      <c r="L1132" s="2">
        <v>5199.25</v>
      </c>
    </row>
    <row r="1133" spans="1:12" x14ac:dyDescent="0.3">
      <c r="A1133" s="6">
        <f ca="1">Table1[[#This Row],[Date]]*1</f>
        <v>45494</v>
      </c>
      <c r="B1133" t="s">
        <v>34</v>
      </c>
      <c r="C1133" t="s">
        <v>11</v>
      </c>
      <c r="D1133" t="s">
        <v>15</v>
      </c>
      <c r="E1133" t="s">
        <v>4</v>
      </c>
      <c r="F1133" t="s">
        <v>32</v>
      </c>
      <c r="G1133" s="2">
        <v>33</v>
      </c>
      <c r="H1133" s="2">
        <v>261.02999999999997</v>
      </c>
      <c r="I1133" s="2">
        <v>291.73</v>
      </c>
      <c r="J1133" s="2">
        <v>8613.99</v>
      </c>
      <c r="K1133" s="2">
        <v>9627.09</v>
      </c>
      <c r="L1133" s="2">
        <v>1013.1</v>
      </c>
    </row>
    <row r="1134" spans="1:12" x14ac:dyDescent="0.3">
      <c r="A1134" s="6">
        <f ca="1">Table1[[#This Row],[Date]]*1</f>
        <v>45331</v>
      </c>
      <c r="B1134" t="s">
        <v>36</v>
      </c>
      <c r="C1134" t="s">
        <v>11</v>
      </c>
      <c r="D1134" t="s">
        <v>13</v>
      </c>
      <c r="E1134" t="s">
        <v>31</v>
      </c>
      <c r="F1134" t="s">
        <v>32</v>
      </c>
      <c r="G1134" s="2">
        <v>4</v>
      </c>
      <c r="H1134" s="2">
        <v>276.66000000000003</v>
      </c>
      <c r="I1134" s="2">
        <v>362.16</v>
      </c>
      <c r="J1134" s="2">
        <v>1106.6400000000001</v>
      </c>
      <c r="K1134" s="2">
        <v>1448.64</v>
      </c>
      <c r="L1134" s="2">
        <v>342</v>
      </c>
    </row>
    <row r="1135" spans="1:12" x14ac:dyDescent="0.3">
      <c r="A1135" s="6">
        <f ca="1">Table1[[#This Row],[Date]]*1</f>
        <v>45619</v>
      </c>
      <c r="B1135" t="s">
        <v>34</v>
      </c>
      <c r="C1135" t="s">
        <v>2</v>
      </c>
      <c r="D1135" t="s">
        <v>5</v>
      </c>
      <c r="E1135" t="s">
        <v>35</v>
      </c>
      <c r="F1135" t="s">
        <v>29</v>
      </c>
      <c r="G1135" s="2">
        <v>7</v>
      </c>
      <c r="H1135" s="2">
        <v>399.65</v>
      </c>
      <c r="I1135" s="2">
        <v>544.66999999999996</v>
      </c>
      <c r="J1135" s="2">
        <v>2797.55</v>
      </c>
      <c r="K1135" s="2">
        <v>3812.69</v>
      </c>
      <c r="L1135" s="2">
        <v>1015.14</v>
      </c>
    </row>
    <row r="1136" spans="1:12" x14ac:dyDescent="0.3">
      <c r="A1136" s="6">
        <f ca="1">Table1[[#This Row],[Date]]*1</f>
        <v>45511</v>
      </c>
      <c r="B1136" t="s">
        <v>28</v>
      </c>
      <c r="C1136" t="s">
        <v>11</v>
      </c>
      <c r="D1136" t="s">
        <v>12</v>
      </c>
      <c r="E1136" t="s">
        <v>43</v>
      </c>
      <c r="F1136" t="s">
        <v>32</v>
      </c>
      <c r="G1136" s="2">
        <v>7</v>
      </c>
      <c r="H1136" s="2">
        <v>868.47</v>
      </c>
      <c r="I1136" s="2">
        <v>1156.5999999999999</v>
      </c>
      <c r="J1136" s="2">
        <v>6079.29</v>
      </c>
      <c r="K1136" s="2">
        <v>8096.2</v>
      </c>
      <c r="L1136" s="2">
        <v>2016.91</v>
      </c>
    </row>
    <row r="1137" spans="1:12" x14ac:dyDescent="0.3">
      <c r="A1137" s="6">
        <f ca="1">Table1[[#This Row],[Date]]*1</f>
        <v>45610</v>
      </c>
      <c r="B1137" t="s">
        <v>30</v>
      </c>
      <c r="C1137" t="s">
        <v>2</v>
      </c>
      <c r="D1137" t="s">
        <v>3</v>
      </c>
      <c r="E1137" t="s">
        <v>43</v>
      </c>
      <c r="F1137" t="s">
        <v>29</v>
      </c>
      <c r="G1137" s="2">
        <v>17</v>
      </c>
      <c r="H1137" s="2">
        <v>111.76</v>
      </c>
      <c r="I1137" s="2">
        <v>124.83</v>
      </c>
      <c r="J1137" s="2">
        <v>1899.92</v>
      </c>
      <c r="K1137" s="2">
        <v>2122.11</v>
      </c>
      <c r="L1137" s="2">
        <v>222.19</v>
      </c>
    </row>
    <row r="1138" spans="1:12" x14ac:dyDescent="0.3">
      <c r="A1138" s="6">
        <f ca="1">Table1[[#This Row],[Date]]*1</f>
        <v>45309</v>
      </c>
      <c r="B1138" t="s">
        <v>38</v>
      </c>
      <c r="C1138" t="s">
        <v>8</v>
      </c>
      <c r="D1138" t="s">
        <v>42</v>
      </c>
      <c r="E1138" t="s">
        <v>31</v>
      </c>
      <c r="F1138" t="s">
        <v>29</v>
      </c>
      <c r="G1138" s="2">
        <v>43</v>
      </c>
      <c r="H1138" s="2">
        <v>785.92</v>
      </c>
      <c r="I1138" s="2">
        <v>1131.8800000000001</v>
      </c>
      <c r="J1138" s="2">
        <v>33794.559999999998</v>
      </c>
      <c r="K1138" s="2">
        <v>48670.84</v>
      </c>
      <c r="L1138" s="2">
        <v>14876.28</v>
      </c>
    </row>
    <row r="1139" spans="1:12" x14ac:dyDescent="0.3">
      <c r="A1139" s="6">
        <f ca="1">Table1[[#This Row],[Date]]*1</f>
        <v>45409</v>
      </c>
      <c r="B1139" t="s">
        <v>38</v>
      </c>
      <c r="C1139" t="s">
        <v>8</v>
      </c>
      <c r="D1139" t="s">
        <v>42</v>
      </c>
      <c r="E1139" t="s">
        <v>31</v>
      </c>
      <c r="F1139" t="s">
        <v>29</v>
      </c>
      <c r="G1139" s="2">
        <v>46</v>
      </c>
      <c r="H1139" s="2">
        <v>626.87</v>
      </c>
      <c r="I1139" s="2">
        <v>717.92</v>
      </c>
      <c r="J1139" s="2">
        <v>28836.02</v>
      </c>
      <c r="K1139" s="2">
        <v>33024.32</v>
      </c>
      <c r="L1139" s="2">
        <v>4188.3</v>
      </c>
    </row>
    <row r="1140" spans="1:12" x14ac:dyDescent="0.3">
      <c r="A1140" s="6">
        <f ca="1">Table1[[#This Row],[Date]]*1</f>
        <v>45547</v>
      </c>
      <c r="B1140" t="s">
        <v>44</v>
      </c>
      <c r="C1140" t="s">
        <v>6</v>
      </c>
      <c r="D1140" t="s">
        <v>7</v>
      </c>
      <c r="E1140" t="s">
        <v>35</v>
      </c>
      <c r="F1140" t="s">
        <v>29</v>
      </c>
      <c r="G1140" s="2">
        <v>6</v>
      </c>
      <c r="H1140" s="2">
        <v>105.7</v>
      </c>
      <c r="I1140" s="2">
        <v>155.11000000000001</v>
      </c>
      <c r="J1140" s="2">
        <v>634.20000000000005</v>
      </c>
      <c r="K1140" s="2">
        <v>930.66</v>
      </c>
      <c r="L1140" s="2">
        <v>296.45999999999998</v>
      </c>
    </row>
    <row r="1141" spans="1:12" x14ac:dyDescent="0.3">
      <c r="A1141" s="6">
        <f ca="1">Table1[[#This Row],[Date]]*1</f>
        <v>45651</v>
      </c>
      <c r="B1141" t="s">
        <v>36</v>
      </c>
      <c r="C1141" t="s">
        <v>11</v>
      </c>
      <c r="D1141" t="s">
        <v>12</v>
      </c>
      <c r="E1141" t="s">
        <v>31</v>
      </c>
      <c r="F1141" t="s">
        <v>29</v>
      </c>
      <c r="G1141" s="2">
        <v>21</v>
      </c>
      <c r="H1141" s="2">
        <v>996.06</v>
      </c>
      <c r="I1141" s="2">
        <v>1343.77</v>
      </c>
      <c r="J1141" s="2">
        <v>20917.259999999998</v>
      </c>
      <c r="K1141" s="2">
        <v>28219.17</v>
      </c>
      <c r="L1141" s="2">
        <v>7301.91</v>
      </c>
    </row>
    <row r="1142" spans="1:12" x14ac:dyDescent="0.3">
      <c r="A1142" s="6">
        <f ca="1">Table1[[#This Row],[Date]]*1</f>
        <v>45314</v>
      </c>
      <c r="B1142" t="s">
        <v>34</v>
      </c>
      <c r="C1142" t="s">
        <v>6</v>
      </c>
      <c r="D1142" t="s">
        <v>7</v>
      </c>
      <c r="E1142" t="s">
        <v>35</v>
      </c>
      <c r="F1142" t="s">
        <v>32</v>
      </c>
      <c r="G1142" s="2">
        <v>5</v>
      </c>
      <c r="H1142" s="2">
        <v>919.52</v>
      </c>
      <c r="I1142" s="2">
        <v>1193.32</v>
      </c>
      <c r="J1142" s="2">
        <v>4597.6000000000004</v>
      </c>
      <c r="K1142" s="2">
        <v>5966.6</v>
      </c>
      <c r="L1142" s="2">
        <v>1369</v>
      </c>
    </row>
    <row r="1143" spans="1:12" x14ac:dyDescent="0.3">
      <c r="A1143" s="6">
        <f ca="1">Table1[[#This Row],[Date]]*1</f>
        <v>45375</v>
      </c>
      <c r="B1143" t="s">
        <v>36</v>
      </c>
      <c r="C1143" t="s">
        <v>11</v>
      </c>
      <c r="D1143" t="s">
        <v>15</v>
      </c>
      <c r="E1143" t="s">
        <v>31</v>
      </c>
      <c r="F1143" t="s">
        <v>32</v>
      </c>
      <c r="G1143" s="2">
        <v>16</v>
      </c>
      <c r="H1143" s="2">
        <v>946.08</v>
      </c>
      <c r="I1143" s="2">
        <v>1171.97</v>
      </c>
      <c r="J1143" s="2">
        <v>15137.28</v>
      </c>
      <c r="K1143" s="2">
        <v>18751.52</v>
      </c>
      <c r="L1143" s="2">
        <v>3614.24</v>
      </c>
    </row>
    <row r="1144" spans="1:12" x14ac:dyDescent="0.3">
      <c r="A1144" s="6">
        <f ca="1">Table1[[#This Row],[Date]]*1</f>
        <v>45551</v>
      </c>
      <c r="B1144" t="s">
        <v>44</v>
      </c>
      <c r="C1144" t="s">
        <v>6</v>
      </c>
      <c r="D1144" t="s">
        <v>7</v>
      </c>
      <c r="E1144" t="s">
        <v>35</v>
      </c>
      <c r="F1144" t="s">
        <v>32</v>
      </c>
      <c r="G1144" s="2">
        <v>48</v>
      </c>
      <c r="H1144" s="2">
        <v>879.6</v>
      </c>
      <c r="I1144" s="2">
        <v>1310.57</v>
      </c>
      <c r="J1144" s="2">
        <v>42220.800000000003</v>
      </c>
      <c r="K1144" s="2">
        <v>62907.360000000001</v>
      </c>
      <c r="L1144" s="2">
        <v>20686.560000000001</v>
      </c>
    </row>
    <row r="1145" spans="1:12" x14ac:dyDescent="0.3">
      <c r="A1145" s="6">
        <f ca="1">Table1[[#This Row],[Date]]*1</f>
        <v>45314</v>
      </c>
      <c r="B1145" t="s">
        <v>28</v>
      </c>
      <c r="C1145" t="s">
        <v>11</v>
      </c>
      <c r="D1145" t="s">
        <v>12</v>
      </c>
      <c r="E1145" t="s">
        <v>35</v>
      </c>
      <c r="F1145" t="s">
        <v>32</v>
      </c>
      <c r="G1145" s="2">
        <v>31</v>
      </c>
      <c r="H1145" s="2">
        <v>575.51</v>
      </c>
      <c r="I1145" s="2">
        <v>815.97</v>
      </c>
      <c r="J1145" s="2">
        <v>17840.810000000001</v>
      </c>
      <c r="K1145" s="2">
        <v>25295.07</v>
      </c>
      <c r="L1145" s="2">
        <v>7454.26</v>
      </c>
    </row>
    <row r="1146" spans="1:12" x14ac:dyDescent="0.3">
      <c r="A1146" s="6">
        <f ca="1">Table1[[#This Row],[Date]]*1</f>
        <v>45306</v>
      </c>
      <c r="B1146" t="s">
        <v>37</v>
      </c>
      <c r="C1146" t="s">
        <v>8</v>
      </c>
      <c r="D1146" t="s">
        <v>16</v>
      </c>
      <c r="E1146" t="s">
        <v>31</v>
      </c>
      <c r="F1146" t="s">
        <v>29</v>
      </c>
      <c r="G1146" s="2">
        <v>20</v>
      </c>
      <c r="H1146" s="2">
        <v>491.18</v>
      </c>
      <c r="I1146" s="2">
        <v>564.12</v>
      </c>
      <c r="J1146" s="2">
        <v>9823.6</v>
      </c>
      <c r="K1146" s="2">
        <v>11282.4</v>
      </c>
      <c r="L1146" s="2">
        <v>1458.8</v>
      </c>
    </row>
    <row r="1147" spans="1:12" x14ac:dyDescent="0.3">
      <c r="A1147" s="6">
        <f ca="1">Table1[[#This Row],[Date]]*1</f>
        <v>45611</v>
      </c>
      <c r="B1147" t="s">
        <v>44</v>
      </c>
      <c r="C1147" t="s">
        <v>2</v>
      </c>
      <c r="D1147" t="s">
        <v>14</v>
      </c>
      <c r="E1147" t="s">
        <v>40</v>
      </c>
      <c r="F1147" t="s">
        <v>29</v>
      </c>
      <c r="G1147" s="2">
        <v>3</v>
      </c>
      <c r="H1147" s="2">
        <v>250.78</v>
      </c>
      <c r="I1147" s="2">
        <v>294.3</v>
      </c>
      <c r="J1147" s="2">
        <v>752.34</v>
      </c>
      <c r="K1147" s="2">
        <v>882.9</v>
      </c>
      <c r="L1147" s="2">
        <v>130.56</v>
      </c>
    </row>
    <row r="1148" spans="1:12" x14ac:dyDescent="0.3">
      <c r="A1148" s="6">
        <f ca="1">Table1[[#This Row],[Date]]*1</f>
        <v>45571</v>
      </c>
      <c r="B1148" t="s">
        <v>28</v>
      </c>
      <c r="C1148" t="s">
        <v>11</v>
      </c>
      <c r="D1148" t="s">
        <v>13</v>
      </c>
      <c r="E1148" t="s">
        <v>33</v>
      </c>
      <c r="F1148" t="s">
        <v>29</v>
      </c>
      <c r="G1148" s="2">
        <v>32</v>
      </c>
      <c r="H1148" s="2">
        <v>828.31</v>
      </c>
      <c r="I1148" s="2">
        <v>1045.82</v>
      </c>
      <c r="J1148" s="2">
        <v>26505.919999999998</v>
      </c>
      <c r="K1148" s="2">
        <v>33466.239999999998</v>
      </c>
      <c r="L1148" s="2">
        <v>6960.32</v>
      </c>
    </row>
    <row r="1149" spans="1:12" x14ac:dyDescent="0.3">
      <c r="A1149" s="6">
        <f ca="1">Table1[[#This Row],[Date]]*1</f>
        <v>45588</v>
      </c>
      <c r="B1149" t="s">
        <v>38</v>
      </c>
      <c r="C1149" t="s">
        <v>2</v>
      </c>
      <c r="D1149" t="s">
        <v>14</v>
      </c>
      <c r="E1149" t="s">
        <v>43</v>
      </c>
      <c r="F1149" t="s">
        <v>29</v>
      </c>
      <c r="G1149" s="2">
        <v>10</v>
      </c>
      <c r="H1149" s="2">
        <v>825.16</v>
      </c>
      <c r="I1149" s="2">
        <v>952.03</v>
      </c>
      <c r="J1149" s="2">
        <v>8251.6</v>
      </c>
      <c r="K1149" s="2">
        <v>9520.2999999999993</v>
      </c>
      <c r="L1149" s="2">
        <v>1268.7</v>
      </c>
    </row>
    <row r="1150" spans="1:12" x14ac:dyDescent="0.3">
      <c r="A1150" s="6">
        <f ca="1">Table1[[#This Row],[Date]]*1</f>
        <v>45414</v>
      </c>
      <c r="B1150" t="s">
        <v>30</v>
      </c>
      <c r="C1150" t="s">
        <v>8</v>
      </c>
      <c r="D1150" t="s">
        <v>16</v>
      </c>
      <c r="E1150" t="s">
        <v>40</v>
      </c>
      <c r="F1150" t="s">
        <v>29</v>
      </c>
      <c r="G1150" s="2">
        <v>7</v>
      </c>
      <c r="H1150" s="2">
        <v>714.68</v>
      </c>
      <c r="I1150" s="2">
        <v>867.59</v>
      </c>
      <c r="J1150" s="2">
        <v>5002.76</v>
      </c>
      <c r="K1150" s="2">
        <v>6073.13</v>
      </c>
      <c r="L1150" s="2">
        <v>1070.3699999999999</v>
      </c>
    </row>
    <row r="1151" spans="1:12" x14ac:dyDescent="0.3">
      <c r="A1151" s="6">
        <f ca="1">Table1[[#This Row],[Date]]*1</f>
        <v>45514</v>
      </c>
      <c r="B1151" t="s">
        <v>36</v>
      </c>
      <c r="C1151" t="s">
        <v>2</v>
      </c>
      <c r="D1151" t="s">
        <v>14</v>
      </c>
      <c r="E1151" t="s">
        <v>31</v>
      </c>
      <c r="F1151" t="s">
        <v>32</v>
      </c>
      <c r="G1151" s="2">
        <v>42</v>
      </c>
      <c r="H1151" s="2">
        <v>613.30999999999995</v>
      </c>
      <c r="I1151" s="2">
        <v>740.55</v>
      </c>
      <c r="J1151" s="2">
        <v>25759.02</v>
      </c>
      <c r="K1151" s="2">
        <v>31103.1</v>
      </c>
      <c r="L1151" s="2">
        <v>5344.08</v>
      </c>
    </row>
    <row r="1152" spans="1:12" x14ac:dyDescent="0.3">
      <c r="A1152" s="6">
        <f ca="1">Table1[[#This Row],[Date]]*1</f>
        <v>45554</v>
      </c>
      <c r="B1152" t="s">
        <v>45</v>
      </c>
      <c r="C1152" t="s">
        <v>6</v>
      </c>
      <c r="D1152" t="s">
        <v>7</v>
      </c>
      <c r="E1152" t="s">
        <v>4</v>
      </c>
      <c r="F1152" t="s">
        <v>32</v>
      </c>
      <c r="G1152" s="2">
        <v>9</v>
      </c>
      <c r="H1152" s="2">
        <v>799.4</v>
      </c>
      <c r="I1152" s="2">
        <v>1082.94</v>
      </c>
      <c r="J1152" s="2">
        <v>7194.6</v>
      </c>
      <c r="K1152" s="2">
        <v>9746.4599999999991</v>
      </c>
      <c r="L1152" s="2">
        <v>2551.86</v>
      </c>
    </row>
    <row r="1153" spans="1:12" x14ac:dyDescent="0.3">
      <c r="A1153" s="6">
        <f ca="1">Table1[[#This Row],[Date]]*1</f>
        <v>45473</v>
      </c>
      <c r="B1153" t="s">
        <v>44</v>
      </c>
      <c r="C1153" t="s">
        <v>6</v>
      </c>
      <c r="D1153" t="s">
        <v>17</v>
      </c>
      <c r="E1153" t="s">
        <v>40</v>
      </c>
      <c r="F1153" t="s">
        <v>29</v>
      </c>
      <c r="G1153" s="2">
        <v>18</v>
      </c>
      <c r="H1153" s="2">
        <v>802.8</v>
      </c>
      <c r="I1153" s="2">
        <v>959.42</v>
      </c>
      <c r="J1153" s="2">
        <v>14450.4</v>
      </c>
      <c r="K1153" s="2">
        <v>17269.560000000001</v>
      </c>
      <c r="L1153" s="2">
        <v>2819.16</v>
      </c>
    </row>
    <row r="1154" spans="1:12" x14ac:dyDescent="0.3">
      <c r="A1154" s="6">
        <f ca="1">Table1[[#This Row],[Date]]*1</f>
        <v>45467</v>
      </c>
      <c r="B1154" t="s">
        <v>44</v>
      </c>
      <c r="C1154" t="s">
        <v>11</v>
      </c>
      <c r="D1154" t="s">
        <v>12</v>
      </c>
      <c r="E1154" t="s">
        <v>33</v>
      </c>
      <c r="F1154" t="s">
        <v>29</v>
      </c>
      <c r="G1154" s="2">
        <v>2</v>
      </c>
      <c r="H1154" s="2">
        <v>806.22</v>
      </c>
      <c r="I1154" s="2">
        <v>1131.0899999999999</v>
      </c>
      <c r="J1154" s="2">
        <v>1612.44</v>
      </c>
      <c r="K1154" s="2">
        <v>2262.1799999999998</v>
      </c>
      <c r="L1154" s="2">
        <v>649.74</v>
      </c>
    </row>
    <row r="1155" spans="1:12" x14ac:dyDescent="0.3">
      <c r="A1155" s="6">
        <f ca="1">Table1[[#This Row],[Date]]*1</f>
        <v>45464</v>
      </c>
      <c r="B1155" t="s">
        <v>41</v>
      </c>
      <c r="C1155" t="s">
        <v>11</v>
      </c>
      <c r="D1155" t="s">
        <v>13</v>
      </c>
      <c r="E1155" t="s">
        <v>43</v>
      </c>
      <c r="F1155" t="s">
        <v>29</v>
      </c>
      <c r="G1155" s="2">
        <v>36</v>
      </c>
      <c r="H1155" s="2">
        <v>410.43</v>
      </c>
      <c r="I1155" s="2">
        <v>559.38</v>
      </c>
      <c r="J1155" s="2">
        <v>14775.48</v>
      </c>
      <c r="K1155" s="2">
        <v>20137.68</v>
      </c>
      <c r="L1155" s="2">
        <v>5362.2</v>
      </c>
    </row>
    <row r="1156" spans="1:12" x14ac:dyDescent="0.3">
      <c r="A1156" s="6">
        <f ca="1">Table1[[#This Row],[Date]]*1</f>
        <v>45341</v>
      </c>
      <c r="B1156" t="s">
        <v>37</v>
      </c>
      <c r="C1156" t="s">
        <v>6</v>
      </c>
      <c r="D1156" t="s">
        <v>17</v>
      </c>
      <c r="E1156" t="s">
        <v>33</v>
      </c>
      <c r="F1156" t="s">
        <v>32</v>
      </c>
      <c r="G1156" s="2">
        <v>47</v>
      </c>
      <c r="H1156" s="2">
        <v>356.63</v>
      </c>
      <c r="I1156" s="2">
        <v>423.36</v>
      </c>
      <c r="J1156" s="2">
        <v>16761.61</v>
      </c>
      <c r="K1156" s="2">
        <v>19897.919999999998</v>
      </c>
      <c r="L1156" s="2">
        <v>3136.31</v>
      </c>
    </row>
    <row r="1157" spans="1:12" x14ac:dyDescent="0.3">
      <c r="A1157" s="6">
        <f ca="1">Table1[[#This Row],[Date]]*1</f>
        <v>45435</v>
      </c>
      <c r="B1157" t="s">
        <v>44</v>
      </c>
      <c r="C1157" t="s">
        <v>6</v>
      </c>
      <c r="D1157" t="s">
        <v>7</v>
      </c>
      <c r="E1157" t="s">
        <v>31</v>
      </c>
      <c r="F1157" t="s">
        <v>29</v>
      </c>
      <c r="G1157" s="2">
        <v>40</v>
      </c>
      <c r="H1157" s="2">
        <v>486.66</v>
      </c>
      <c r="I1157" s="2">
        <v>719.29</v>
      </c>
      <c r="J1157" s="2">
        <v>19466.400000000001</v>
      </c>
      <c r="K1157" s="2">
        <v>28771.599999999999</v>
      </c>
      <c r="L1157" s="2">
        <v>9305.2000000000007</v>
      </c>
    </row>
    <row r="1158" spans="1:12" x14ac:dyDescent="0.3">
      <c r="A1158" s="6">
        <f ca="1">Table1[[#This Row],[Date]]*1</f>
        <v>45474</v>
      </c>
      <c r="B1158" t="s">
        <v>39</v>
      </c>
      <c r="C1158" t="s">
        <v>8</v>
      </c>
      <c r="D1158" t="s">
        <v>42</v>
      </c>
      <c r="E1158" t="s">
        <v>33</v>
      </c>
      <c r="F1158" t="s">
        <v>32</v>
      </c>
      <c r="G1158" s="2">
        <v>45</v>
      </c>
      <c r="H1158" s="2">
        <v>831.34</v>
      </c>
      <c r="I1158" s="2">
        <v>1045.1600000000001</v>
      </c>
      <c r="J1158" s="2">
        <v>37410.300000000003</v>
      </c>
      <c r="K1158" s="2">
        <v>47032.2</v>
      </c>
      <c r="L1158" s="2">
        <v>9621.9</v>
      </c>
    </row>
    <row r="1159" spans="1:12" x14ac:dyDescent="0.3">
      <c r="A1159" s="6">
        <f ca="1">Table1[[#This Row],[Date]]*1</f>
        <v>45513</v>
      </c>
      <c r="B1159" t="s">
        <v>44</v>
      </c>
      <c r="C1159" t="s">
        <v>2</v>
      </c>
      <c r="D1159" t="s">
        <v>3</v>
      </c>
      <c r="E1159" t="s">
        <v>40</v>
      </c>
      <c r="F1159" t="s">
        <v>32</v>
      </c>
      <c r="G1159" s="2">
        <v>22</v>
      </c>
      <c r="H1159" s="2">
        <v>443.19</v>
      </c>
      <c r="I1159" s="2">
        <v>610.41999999999996</v>
      </c>
      <c r="J1159" s="2">
        <v>9750.18</v>
      </c>
      <c r="K1159" s="2">
        <v>13429.24</v>
      </c>
      <c r="L1159" s="2">
        <v>3679.06</v>
      </c>
    </row>
    <row r="1160" spans="1:12" x14ac:dyDescent="0.3">
      <c r="A1160" s="6">
        <f ca="1">Table1[[#This Row],[Date]]*1</f>
        <v>45364</v>
      </c>
      <c r="B1160" t="s">
        <v>34</v>
      </c>
      <c r="C1160" t="s">
        <v>2</v>
      </c>
      <c r="D1160" t="s">
        <v>14</v>
      </c>
      <c r="E1160" t="s">
        <v>35</v>
      </c>
      <c r="F1160" t="s">
        <v>32</v>
      </c>
      <c r="G1160" s="2">
        <v>20</v>
      </c>
      <c r="H1160" s="2">
        <v>256.02999999999997</v>
      </c>
      <c r="I1160" s="2">
        <v>363.64</v>
      </c>
      <c r="J1160" s="2">
        <v>5120.6000000000004</v>
      </c>
      <c r="K1160" s="2">
        <v>7272.8</v>
      </c>
      <c r="L1160" s="2">
        <v>2152.1999999999998</v>
      </c>
    </row>
    <row r="1161" spans="1:12" x14ac:dyDescent="0.3">
      <c r="A1161" s="6">
        <f ca="1">Table1[[#This Row],[Date]]*1</f>
        <v>45631</v>
      </c>
      <c r="B1161" t="s">
        <v>37</v>
      </c>
      <c r="C1161" t="s">
        <v>6</v>
      </c>
      <c r="D1161" t="s">
        <v>17</v>
      </c>
      <c r="E1161" t="s">
        <v>33</v>
      </c>
      <c r="F1161" t="s">
        <v>32</v>
      </c>
      <c r="G1161" s="2">
        <v>23</v>
      </c>
      <c r="H1161" s="2">
        <v>523.64</v>
      </c>
      <c r="I1161" s="2">
        <v>682.01</v>
      </c>
      <c r="J1161" s="2">
        <v>12043.72</v>
      </c>
      <c r="K1161" s="2">
        <v>15686.23</v>
      </c>
      <c r="L1161" s="2">
        <v>3642.51</v>
      </c>
    </row>
    <row r="1162" spans="1:12" x14ac:dyDescent="0.3">
      <c r="A1162" s="6">
        <f ca="1">Table1[[#This Row],[Date]]*1</f>
        <v>45400</v>
      </c>
      <c r="B1162" t="s">
        <v>36</v>
      </c>
      <c r="C1162" t="s">
        <v>2</v>
      </c>
      <c r="D1162" t="s">
        <v>14</v>
      </c>
      <c r="E1162" t="s">
        <v>35</v>
      </c>
      <c r="F1162" t="s">
        <v>29</v>
      </c>
      <c r="G1162" s="2">
        <v>24</v>
      </c>
      <c r="H1162" s="2">
        <v>347.79</v>
      </c>
      <c r="I1162" s="2">
        <v>485.4</v>
      </c>
      <c r="J1162" s="2">
        <v>8346.9599999999991</v>
      </c>
      <c r="K1162" s="2">
        <v>11649.6</v>
      </c>
      <c r="L1162" s="2">
        <v>3302.64</v>
      </c>
    </row>
    <row r="1163" spans="1:12" x14ac:dyDescent="0.3">
      <c r="A1163" s="6">
        <f ca="1">Table1[[#This Row],[Date]]*1</f>
        <v>45514</v>
      </c>
      <c r="B1163" t="s">
        <v>38</v>
      </c>
      <c r="C1163" t="s">
        <v>6</v>
      </c>
      <c r="D1163" t="s">
        <v>17</v>
      </c>
      <c r="E1163" t="s">
        <v>31</v>
      </c>
      <c r="F1163" t="s">
        <v>32</v>
      </c>
      <c r="G1163" s="2">
        <v>34</v>
      </c>
      <c r="H1163" s="2">
        <v>675.79</v>
      </c>
      <c r="I1163" s="2">
        <v>1006.11</v>
      </c>
      <c r="J1163" s="2">
        <v>22976.86</v>
      </c>
      <c r="K1163" s="2">
        <v>34207.74</v>
      </c>
      <c r="L1163" s="2">
        <v>11230.88</v>
      </c>
    </row>
    <row r="1164" spans="1:12" x14ac:dyDescent="0.3">
      <c r="A1164" s="6">
        <f ca="1">Table1[[#This Row],[Date]]*1</f>
        <v>45600</v>
      </c>
      <c r="B1164" t="s">
        <v>36</v>
      </c>
      <c r="C1164" t="s">
        <v>8</v>
      </c>
      <c r="D1164" t="s">
        <v>9</v>
      </c>
      <c r="E1164" t="s">
        <v>43</v>
      </c>
      <c r="F1164" t="s">
        <v>32</v>
      </c>
      <c r="G1164" s="2">
        <v>20</v>
      </c>
      <c r="H1164" s="2">
        <v>944.74</v>
      </c>
      <c r="I1164" s="2">
        <v>1415.36</v>
      </c>
      <c r="J1164" s="2">
        <v>18894.8</v>
      </c>
      <c r="K1164" s="2">
        <v>28307.200000000001</v>
      </c>
      <c r="L1164" s="2">
        <v>9412.4</v>
      </c>
    </row>
    <row r="1165" spans="1:12" x14ac:dyDescent="0.3">
      <c r="A1165" s="6">
        <f ca="1">Table1[[#This Row],[Date]]*1</f>
        <v>45311</v>
      </c>
      <c r="B1165" t="s">
        <v>41</v>
      </c>
      <c r="C1165" t="s">
        <v>6</v>
      </c>
      <c r="D1165" t="s">
        <v>17</v>
      </c>
      <c r="E1165" t="s">
        <v>31</v>
      </c>
      <c r="F1165" t="s">
        <v>29</v>
      </c>
      <c r="G1165" s="2">
        <v>34</v>
      </c>
      <c r="H1165" s="2">
        <v>214.25</v>
      </c>
      <c r="I1165" s="2">
        <v>243.4</v>
      </c>
      <c r="J1165" s="2">
        <v>7284.5</v>
      </c>
      <c r="K1165" s="2">
        <v>8275.6</v>
      </c>
      <c r="L1165" s="2">
        <v>991.1</v>
      </c>
    </row>
    <row r="1166" spans="1:12" x14ac:dyDescent="0.3">
      <c r="A1166" s="6">
        <f ca="1">Table1[[#This Row],[Date]]*1</f>
        <v>45421</v>
      </c>
      <c r="B1166" t="s">
        <v>36</v>
      </c>
      <c r="C1166" t="s">
        <v>6</v>
      </c>
      <c r="D1166" t="s">
        <v>7</v>
      </c>
      <c r="E1166" t="s">
        <v>31</v>
      </c>
      <c r="F1166" t="s">
        <v>29</v>
      </c>
      <c r="G1166" s="2">
        <v>43</v>
      </c>
      <c r="H1166" s="2">
        <v>409.65</v>
      </c>
      <c r="I1166" s="2">
        <v>580.05999999999995</v>
      </c>
      <c r="J1166" s="2">
        <v>17614.95</v>
      </c>
      <c r="K1166" s="2">
        <v>24942.58</v>
      </c>
      <c r="L1166" s="2">
        <v>7327.63</v>
      </c>
    </row>
    <row r="1167" spans="1:12" x14ac:dyDescent="0.3">
      <c r="A1167" s="6">
        <f ca="1">Table1[[#This Row],[Date]]*1</f>
        <v>45420</v>
      </c>
      <c r="B1167" t="s">
        <v>28</v>
      </c>
      <c r="C1167" t="s">
        <v>11</v>
      </c>
      <c r="D1167" t="s">
        <v>12</v>
      </c>
      <c r="E1167" t="s">
        <v>4</v>
      </c>
      <c r="F1167" t="s">
        <v>32</v>
      </c>
      <c r="G1167" s="2">
        <v>42</v>
      </c>
      <c r="H1167" s="2">
        <v>509.2</v>
      </c>
      <c r="I1167" s="2">
        <v>701.91</v>
      </c>
      <c r="J1167" s="2">
        <v>21386.400000000001</v>
      </c>
      <c r="K1167" s="2">
        <v>29480.22</v>
      </c>
      <c r="L1167" s="2">
        <v>8093.82</v>
      </c>
    </row>
    <row r="1168" spans="1:12" x14ac:dyDescent="0.3">
      <c r="A1168" s="6">
        <f ca="1">Table1[[#This Row],[Date]]*1</f>
        <v>45408</v>
      </c>
      <c r="B1168" t="s">
        <v>30</v>
      </c>
      <c r="C1168" t="s">
        <v>11</v>
      </c>
      <c r="D1168" t="s">
        <v>12</v>
      </c>
      <c r="E1168" t="s">
        <v>33</v>
      </c>
      <c r="F1168" t="s">
        <v>29</v>
      </c>
      <c r="G1168" s="2">
        <v>14</v>
      </c>
      <c r="H1168" s="2">
        <v>167.45</v>
      </c>
      <c r="I1168" s="2">
        <v>237.77</v>
      </c>
      <c r="J1168" s="2">
        <v>2344.3000000000002</v>
      </c>
      <c r="K1168" s="2">
        <v>3328.78</v>
      </c>
      <c r="L1168" s="2">
        <v>984.48</v>
      </c>
    </row>
    <row r="1169" spans="1:12" x14ac:dyDescent="0.3">
      <c r="A1169" s="6">
        <f ca="1">Table1[[#This Row],[Date]]*1</f>
        <v>45592</v>
      </c>
      <c r="B1169" t="s">
        <v>28</v>
      </c>
      <c r="C1169" t="s">
        <v>8</v>
      </c>
      <c r="D1169" t="s">
        <v>16</v>
      </c>
      <c r="E1169" t="s">
        <v>33</v>
      </c>
      <c r="F1169" t="s">
        <v>32</v>
      </c>
      <c r="G1169" s="2">
        <v>10</v>
      </c>
      <c r="H1169" s="2">
        <v>496.03</v>
      </c>
      <c r="I1169" s="2">
        <v>583.23</v>
      </c>
      <c r="J1169" s="2">
        <v>4960.3</v>
      </c>
      <c r="K1169" s="2">
        <v>5832.3</v>
      </c>
      <c r="L1169" s="2">
        <v>872</v>
      </c>
    </row>
    <row r="1170" spans="1:12" x14ac:dyDescent="0.3">
      <c r="A1170" s="6">
        <f ca="1">Table1[[#This Row],[Date]]*1</f>
        <v>45652</v>
      </c>
      <c r="B1170" t="s">
        <v>39</v>
      </c>
      <c r="C1170" t="s">
        <v>11</v>
      </c>
      <c r="D1170" t="s">
        <v>12</v>
      </c>
      <c r="E1170" t="s">
        <v>40</v>
      </c>
      <c r="F1170" t="s">
        <v>32</v>
      </c>
      <c r="G1170" s="2">
        <v>18</v>
      </c>
      <c r="H1170" s="2">
        <v>170.61</v>
      </c>
      <c r="I1170" s="2">
        <v>205.89</v>
      </c>
      <c r="J1170" s="2">
        <v>3070.98</v>
      </c>
      <c r="K1170" s="2">
        <v>3706.02</v>
      </c>
      <c r="L1170" s="2">
        <v>635.04</v>
      </c>
    </row>
    <row r="1171" spans="1:12" x14ac:dyDescent="0.3">
      <c r="A1171" s="6">
        <f ca="1">Table1[[#This Row],[Date]]*1</f>
        <v>45506</v>
      </c>
      <c r="B1171" t="s">
        <v>37</v>
      </c>
      <c r="C1171" t="s">
        <v>6</v>
      </c>
      <c r="D1171" t="s">
        <v>7</v>
      </c>
      <c r="E1171" t="s">
        <v>40</v>
      </c>
      <c r="F1171" t="s">
        <v>32</v>
      </c>
      <c r="G1171" s="2">
        <v>17</v>
      </c>
      <c r="H1171" s="2">
        <v>755.54</v>
      </c>
      <c r="I1171" s="2">
        <v>835.81</v>
      </c>
      <c r="J1171" s="2">
        <v>12844.18</v>
      </c>
      <c r="K1171" s="2">
        <v>14208.77</v>
      </c>
      <c r="L1171" s="2">
        <v>1364.59</v>
      </c>
    </row>
    <row r="1172" spans="1:12" x14ac:dyDescent="0.3">
      <c r="A1172" s="6">
        <f ca="1">Table1[[#This Row],[Date]]*1</f>
        <v>45295</v>
      </c>
      <c r="B1172" t="s">
        <v>36</v>
      </c>
      <c r="C1172" t="s">
        <v>6</v>
      </c>
      <c r="D1172" t="s">
        <v>17</v>
      </c>
      <c r="E1172" t="s">
        <v>35</v>
      </c>
      <c r="F1172" t="s">
        <v>32</v>
      </c>
      <c r="G1172" s="2">
        <v>40</v>
      </c>
      <c r="H1172" s="2">
        <v>464.6</v>
      </c>
      <c r="I1172" s="2">
        <v>583.84</v>
      </c>
      <c r="J1172" s="2">
        <v>18584</v>
      </c>
      <c r="K1172" s="2">
        <v>23353.599999999999</v>
      </c>
      <c r="L1172" s="2">
        <v>4769.6000000000004</v>
      </c>
    </row>
    <row r="1173" spans="1:12" x14ac:dyDescent="0.3">
      <c r="A1173" s="6">
        <f ca="1">Table1[[#This Row],[Date]]*1</f>
        <v>45336</v>
      </c>
      <c r="B1173" t="s">
        <v>44</v>
      </c>
      <c r="C1173" t="s">
        <v>6</v>
      </c>
      <c r="D1173" t="s">
        <v>10</v>
      </c>
      <c r="E1173" t="s">
        <v>40</v>
      </c>
      <c r="F1173" t="s">
        <v>29</v>
      </c>
      <c r="G1173" s="2">
        <v>13</v>
      </c>
      <c r="H1173" s="2">
        <v>696.84</v>
      </c>
      <c r="I1173" s="2">
        <v>981.18</v>
      </c>
      <c r="J1173" s="2">
        <v>9058.92</v>
      </c>
      <c r="K1173" s="2">
        <v>12755.34</v>
      </c>
      <c r="L1173" s="2">
        <v>3696.42</v>
      </c>
    </row>
    <row r="1174" spans="1:12" x14ac:dyDescent="0.3">
      <c r="A1174" s="6">
        <f ca="1">Table1[[#This Row],[Date]]*1</f>
        <v>45628</v>
      </c>
      <c r="B1174" t="s">
        <v>37</v>
      </c>
      <c r="C1174" t="s">
        <v>6</v>
      </c>
      <c r="D1174" t="s">
        <v>7</v>
      </c>
      <c r="E1174" t="s">
        <v>43</v>
      </c>
      <c r="F1174" t="s">
        <v>29</v>
      </c>
      <c r="G1174" s="2">
        <v>41</v>
      </c>
      <c r="H1174" s="2">
        <v>939.44</v>
      </c>
      <c r="I1174" s="2">
        <v>1230.49</v>
      </c>
      <c r="J1174" s="2">
        <v>38517.040000000001</v>
      </c>
      <c r="K1174" s="2">
        <v>50450.09</v>
      </c>
      <c r="L1174" s="2">
        <v>11933.05</v>
      </c>
    </row>
    <row r="1175" spans="1:12" x14ac:dyDescent="0.3">
      <c r="A1175" s="6">
        <f ca="1">Table1[[#This Row],[Date]]*1</f>
        <v>45461</v>
      </c>
      <c r="B1175" t="s">
        <v>28</v>
      </c>
      <c r="C1175" t="s">
        <v>2</v>
      </c>
      <c r="D1175" t="s">
        <v>14</v>
      </c>
      <c r="E1175" t="s">
        <v>43</v>
      </c>
      <c r="F1175" t="s">
        <v>29</v>
      </c>
      <c r="G1175" s="2">
        <v>42</v>
      </c>
      <c r="H1175" s="2">
        <v>978.88</v>
      </c>
      <c r="I1175" s="2">
        <v>1404.64</v>
      </c>
      <c r="J1175" s="2">
        <v>41112.959999999999</v>
      </c>
      <c r="K1175" s="2">
        <v>58994.879999999997</v>
      </c>
      <c r="L1175" s="2">
        <v>17881.919999999998</v>
      </c>
    </row>
    <row r="1176" spans="1:12" x14ac:dyDescent="0.3">
      <c r="A1176" s="6">
        <f ca="1">Table1[[#This Row],[Date]]*1</f>
        <v>45476</v>
      </c>
      <c r="B1176" t="s">
        <v>45</v>
      </c>
      <c r="C1176" t="s">
        <v>8</v>
      </c>
      <c r="D1176" t="s">
        <v>9</v>
      </c>
      <c r="E1176" t="s">
        <v>31</v>
      </c>
      <c r="F1176" t="s">
        <v>29</v>
      </c>
      <c r="G1176" s="2">
        <v>6</v>
      </c>
      <c r="H1176" s="2">
        <v>453.47</v>
      </c>
      <c r="I1176" s="2">
        <v>617.09</v>
      </c>
      <c r="J1176" s="2">
        <v>2720.82</v>
      </c>
      <c r="K1176" s="2">
        <v>3702.54</v>
      </c>
      <c r="L1176" s="2">
        <v>981.72</v>
      </c>
    </row>
    <row r="1177" spans="1:12" x14ac:dyDescent="0.3">
      <c r="A1177" s="6">
        <f ca="1">Table1[[#This Row],[Date]]*1</f>
        <v>45361</v>
      </c>
      <c r="B1177" t="s">
        <v>44</v>
      </c>
      <c r="C1177" t="s">
        <v>8</v>
      </c>
      <c r="D1177" t="s">
        <v>16</v>
      </c>
      <c r="E1177" t="s">
        <v>4</v>
      </c>
      <c r="F1177" t="s">
        <v>32</v>
      </c>
      <c r="G1177" s="2">
        <v>22</v>
      </c>
      <c r="H1177" s="2">
        <v>938.11</v>
      </c>
      <c r="I1177" s="2">
        <v>1390.9</v>
      </c>
      <c r="J1177" s="2">
        <v>20638.419999999998</v>
      </c>
      <c r="K1177" s="2">
        <v>30599.8</v>
      </c>
      <c r="L1177" s="2">
        <v>9961.3799999999992</v>
      </c>
    </row>
    <row r="1178" spans="1:12" x14ac:dyDescent="0.3">
      <c r="A1178" s="6">
        <f ca="1">Table1[[#This Row],[Date]]*1</f>
        <v>45484</v>
      </c>
      <c r="B1178" t="s">
        <v>28</v>
      </c>
      <c r="C1178" t="s">
        <v>2</v>
      </c>
      <c r="D1178" t="s">
        <v>5</v>
      </c>
      <c r="E1178" t="s">
        <v>31</v>
      </c>
      <c r="F1178" t="s">
        <v>32</v>
      </c>
      <c r="G1178" s="2">
        <v>15</v>
      </c>
      <c r="H1178" s="2">
        <v>148.79</v>
      </c>
      <c r="I1178" s="2">
        <v>179.67</v>
      </c>
      <c r="J1178" s="2">
        <v>2231.85</v>
      </c>
      <c r="K1178" s="2">
        <v>2695.05</v>
      </c>
      <c r="L1178" s="2">
        <v>463.2</v>
      </c>
    </row>
    <row r="1179" spans="1:12" x14ac:dyDescent="0.3">
      <c r="A1179" s="6">
        <f ca="1">Table1[[#This Row],[Date]]*1</f>
        <v>45440</v>
      </c>
      <c r="B1179" t="s">
        <v>44</v>
      </c>
      <c r="C1179" t="s">
        <v>11</v>
      </c>
      <c r="D1179" t="s">
        <v>15</v>
      </c>
      <c r="E1179" t="s">
        <v>33</v>
      </c>
      <c r="F1179" t="s">
        <v>29</v>
      </c>
      <c r="G1179" s="2">
        <v>8</v>
      </c>
      <c r="H1179" s="2">
        <v>945.51</v>
      </c>
      <c r="I1179" s="2">
        <v>1127.99</v>
      </c>
      <c r="J1179" s="2">
        <v>7564.08</v>
      </c>
      <c r="K1179" s="2">
        <v>9023.92</v>
      </c>
      <c r="L1179" s="2">
        <v>1459.84</v>
      </c>
    </row>
    <row r="1180" spans="1:12" x14ac:dyDescent="0.3">
      <c r="A1180" s="6">
        <f ca="1">Table1[[#This Row],[Date]]*1</f>
        <v>45506</v>
      </c>
      <c r="B1180" t="s">
        <v>41</v>
      </c>
      <c r="C1180" t="s">
        <v>2</v>
      </c>
      <c r="D1180" t="s">
        <v>5</v>
      </c>
      <c r="E1180" t="s">
        <v>43</v>
      </c>
      <c r="F1180" t="s">
        <v>32</v>
      </c>
      <c r="G1180" s="2">
        <v>7</v>
      </c>
      <c r="H1180" s="2">
        <v>441.67</v>
      </c>
      <c r="I1180" s="2">
        <v>618.16999999999996</v>
      </c>
      <c r="J1180" s="2">
        <v>3091.69</v>
      </c>
      <c r="K1180" s="2">
        <v>4327.1899999999996</v>
      </c>
      <c r="L1180" s="2">
        <v>1235.5</v>
      </c>
    </row>
    <row r="1181" spans="1:12" x14ac:dyDescent="0.3">
      <c r="A1181" s="6">
        <f ca="1">Table1[[#This Row],[Date]]*1</f>
        <v>45311</v>
      </c>
      <c r="B1181" t="s">
        <v>30</v>
      </c>
      <c r="C1181" t="s">
        <v>11</v>
      </c>
      <c r="D1181" t="s">
        <v>12</v>
      </c>
      <c r="E1181" t="s">
        <v>43</v>
      </c>
      <c r="F1181" t="s">
        <v>29</v>
      </c>
      <c r="G1181" s="2">
        <v>22</v>
      </c>
      <c r="H1181" s="2">
        <v>429.66</v>
      </c>
      <c r="I1181" s="2">
        <v>500.67</v>
      </c>
      <c r="J1181" s="2">
        <v>9452.52</v>
      </c>
      <c r="K1181" s="2">
        <v>11014.74</v>
      </c>
      <c r="L1181" s="2">
        <v>1562.22</v>
      </c>
    </row>
    <row r="1182" spans="1:12" x14ac:dyDescent="0.3">
      <c r="A1182" s="6">
        <f ca="1">Table1[[#This Row],[Date]]*1</f>
        <v>45607</v>
      </c>
      <c r="B1182" t="s">
        <v>41</v>
      </c>
      <c r="C1182" t="s">
        <v>6</v>
      </c>
      <c r="D1182" t="s">
        <v>10</v>
      </c>
      <c r="E1182" t="s">
        <v>4</v>
      </c>
      <c r="F1182" t="s">
        <v>32</v>
      </c>
      <c r="G1182" s="2">
        <v>5</v>
      </c>
      <c r="H1182" s="2">
        <v>688.47</v>
      </c>
      <c r="I1182" s="2">
        <v>840.73</v>
      </c>
      <c r="J1182" s="2">
        <v>3442.35</v>
      </c>
      <c r="K1182" s="2">
        <v>4203.6499999999996</v>
      </c>
      <c r="L1182" s="2">
        <v>761.3</v>
      </c>
    </row>
    <row r="1183" spans="1:12" x14ac:dyDescent="0.3">
      <c r="A1183" s="6">
        <f ca="1">Table1[[#This Row],[Date]]*1</f>
        <v>45581</v>
      </c>
      <c r="B1183" t="s">
        <v>41</v>
      </c>
      <c r="C1183" t="s">
        <v>6</v>
      </c>
      <c r="D1183" t="s">
        <v>17</v>
      </c>
      <c r="E1183" t="s">
        <v>40</v>
      </c>
      <c r="F1183" t="s">
        <v>29</v>
      </c>
      <c r="G1183" s="2">
        <v>27</v>
      </c>
      <c r="H1183" s="2">
        <v>953.38</v>
      </c>
      <c r="I1183" s="2">
        <v>1362.88</v>
      </c>
      <c r="J1183" s="2">
        <v>25741.26</v>
      </c>
      <c r="K1183" s="2">
        <v>36797.760000000002</v>
      </c>
      <c r="L1183" s="2">
        <v>11056.5</v>
      </c>
    </row>
    <row r="1184" spans="1:12" x14ac:dyDescent="0.3">
      <c r="A1184" s="6">
        <f ca="1">Table1[[#This Row],[Date]]*1</f>
        <v>45505</v>
      </c>
      <c r="B1184" t="s">
        <v>41</v>
      </c>
      <c r="C1184" t="s">
        <v>11</v>
      </c>
      <c r="D1184" t="s">
        <v>15</v>
      </c>
      <c r="E1184" t="s">
        <v>40</v>
      </c>
      <c r="F1184" t="s">
        <v>29</v>
      </c>
      <c r="G1184" s="2">
        <v>15</v>
      </c>
      <c r="H1184" s="2">
        <v>855.77</v>
      </c>
      <c r="I1184" s="2">
        <v>1073.51</v>
      </c>
      <c r="J1184" s="2">
        <v>12836.55</v>
      </c>
      <c r="K1184" s="2">
        <v>16102.65</v>
      </c>
      <c r="L1184" s="2">
        <v>3266.1</v>
      </c>
    </row>
    <row r="1185" spans="1:12" x14ac:dyDescent="0.3">
      <c r="A1185" s="6">
        <f ca="1">Table1[[#This Row],[Date]]*1</f>
        <v>45374</v>
      </c>
      <c r="B1185" t="s">
        <v>41</v>
      </c>
      <c r="C1185" t="s">
        <v>8</v>
      </c>
      <c r="D1185" t="s">
        <v>16</v>
      </c>
      <c r="E1185" t="s">
        <v>35</v>
      </c>
      <c r="F1185" t="s">
        <v>32</v>
      </c>
      <c r="G1185" s="2">
        <v>46</v>
      </c>
      <c r="H1185" s="2">
        <v>334.76</v>
      </c>
      <c r="I1185" s="2">
        <v>442.36</v>
      </c>
      <c r="J1185" s="2">
        <v>15398.96</v>
      </c>
      <c r="K1185" s="2">
        <v>20348.560000000001</v>
      </c>
      <c r="L1185" s="2">
        <v>4949.6000000000004</v>
      </c>
    </row>
    <row r="1186" spans="1:12" x14ac:dyDescent="0.3">
      <c r="A1186" s="6">
        <f ca="1">Table1[[#This Row],[Date]]*1</f>
        <v>45493</v>
      </c>
      <c r="B1186" t="s">
        <v>45</v>
      </c>
      <c r="C1186" t="s">
        <v>6</v>
      </c>
      <c r="D1186" t="s">
        <v>17</v>
      </c>
      <c r="E1186" t="s">
        <v>4</v>
      </c>
      <c r="F1186" t="s">
        <v>29</v>
      </c>
      <c r="G1186" s="2">
        <v>28</v>
      </c>
      <c r="H1186" s="2">
        <v>877.11</v>
      </c>
      <c r="I1186" s="2">
        <v>1288.81</v>
      </c>
      <c r="J1186" s="2">
        <v>24559.08</v>
      </c>
      <c r="K1186" s="2">
        <v>36086.68</v>
      </c>
      <c r="L1186" s="2">
        <v>11527.6</v>
      </c>
    </row>
    <row r="1187" spans="1:12" x14ac:dyDescent="0.3">
      <c r="A1187" s="6">
        <f ca="1">Table1[[#This Row],[Date]]*1</f>
        <v>45625</v>
      </c>
      <c r="B1187" t="s">
        <v>38</v>
      </c>
      <c r="C1187" t="s">
        <v>6</v>
      </c>
      <c r="D1187" t="s">
        <v>10</v>
      </c>
      <c r="E1187" t="s">
        <v>43</v>
      </c>
      <c r="F1187" t="s">
        <v>29</v>
      </c>
      <c r="G1187" s="2">
        <v>15</v>
      </c>
      <c r="H1187" s="2">
        <v>787.33</v>
      </c>
      <c r="I1187" s="2">
        <v>964.84</v>
      </c>
      <c r="J1187" s="2">
        <v>11809.95</v>
      </c>
      <c r="K1187" s="2">
        <v>14472.6</v>
      </c>
      <c r="L1187" s="2">
        <v>2662.65</v>
      </c>
    </row>
    <row r="1188" spans="1:12" x14ac:dyDescent="0.3">
      <c r="A1188" s="6">
        <f ca="1">Table1[[#This Row],[Date]]*1</f>
        <v>45502</v>
      </c>
      <c r="B1188" t="s">
        <v>45</v>
      </c>
      <c r="C1188" t="s">
        <v>2</v>
      </c>
      <c r="D1188" t="s">
        <v>5</v>
      </c>
      <c r="E1188" t="s">
        <v>35</v>
      </c>
      <c r="F1188" t="s">
        <v>32</v>
      </c>
      <c r="G1188" s="2">
        <v>29</v>
      </c>
      <c r="H1188" s="2">
        <v>159.44</v>
      </c>
      <c r="I1188" s="2">
        <v>222.96</v>
      </c>
      <c r="J1188" s="2">
        <v>4623.76</v>
      </c>
      <c r="K1188" s="2">
        <v>6465.84</v>
      </c>
      <c r="L1188" s="2">
        <v>1842.08</v>
      </c>
    </row>
    <row r="1189" spans="1:12" x14ac:dyDescent="0.3">
      <c r="A1189" s="6">
        <f ca="1">Table1[[#This Row],[Date]]*1</f>
        <v>45337</v>
      </c>
      <c r="B1189" t="s">
        <v>36</v>
      </c>
      <c r="C1189" t="s">
        <v>2</v>
      </c>
      <c r="D1189" t="s">
        <v>3</v>
      </c>
      <c r="E1189" t="s">
        <v>4</v>
      </c>
      <c r="F1189" t="s">
        <v>32</v>
      </c>
      <c r="G1189" s="2">
        <v>15</v>
      </c>
      <c r="H1189" s="2">
        <v>980.88</v>
      </c>
      <c r="I1189" s="2">
        <v>1370.46</v>
      </c>
      <c r="J1189" s="2">
        <v>14713.2</v>
      </c>
      <c r="K1189" s="2">
        <v>20556.900000000001</v>
      </c>
      <c r="L1189" s="2">
        <v>5843.7</v>
      </c>
    </row>
    <row r="1190" spans="1:12" x14ac:dyDescent="0.3">
      <c r="A1190" s="6">
        <f ca="1">Table1[[#This Row],[Date]]*1</f>
        <v>45435</v>
      </c>
      <c r="B1190" t="s">
        <v>38</v>
      </c>
      <c r="C1190" t="s">
        <v>6</v>
      </c>
      <c r="D1190" t="s">
        <v>17</v>
      </c>
      <c r="E1190" t="s">
        <v>40</v>
      </c>
      <c r="F1190" t="s">
        <v>29</v>
      </c>
      <c r="G1190" s="2">
        <v>25</v>
      </c>
      <c r="H1190" s="2">
        <v>443.41</v>
      </c>
      <c r="I1190" s="2">
        <v>567.1</v>
      </c>
      <c r="J1190" s="2">
        <v>11085.25</v>
      </c>
      <c r="K1190" s="2">
        <v>14177.5</v>
      </c>
      <c r="L1190" s="2">
        <v>3092.25</v>
      </c>
    </row>
    <row r="1191" spans="1:12" x14ac:dyDescent="0.3">
      <c r="A1191" s="6">
        <f ca="1">Table1[[#This Row],[Date]]*1</f>
        <v>45595</v>
      </c>
      <c r="B1191" t="s">
        <v>37</v>
      </c>
      <c r="C1191" t="s">
        <v>11</v>
      </c>
      <c r="D1191" t="s">
        <v>15</v>
      </c>
      <c r="E1191" t="s">
        <v>4</v>
      </c>
      <c r="F1191" t="s">
        <v>32</v>
      </c>
      <c r="G1191" s="2">
        <v>6</v>
      </c>
      <c r="H1191" s="2">
        <v>736.01</v>
      </c>
      <c r="I1191" s="2">
        <v>925.35</v>
      </c>
      <c r="J1191" s="2">
        <v>4416.0600000000004</v>
      </c>
      <c r="K1191" s="2">
        <v>5552.1</v>
      </c>
      <c r="L1191" s="2">
        <v>1136.04</v>
      </c>
    </row>
    <row r="1192" spans="1:12" x14ac:dyDescent="0.3">
      <c r="A1192" s="6">
        <f ca="1">Table1[[#This Row],[Date]]*1</f>
        <v>45500</v>
      </c>
      <c r="B1192" t="s">
        <v>30</v>
      </c>
      <c r="C1192" t="s">
        <v>8</v>
      </c>
      <c r="D1192" t="s">
        <v>42</v>
      </c>
      <c r="E1192" t="s">
        <v>4</v>
      </c>
      <c r="F1192" t="s">
        <v>32</v>
      </c>
      <c r="G1192" s="2">
        <v>12</v>
      </c>
      <c r="H1192" s="2">
        <v>440.31</v>
      </c>
      <c r="I1192" s="2">
        <v>586.16999999999996</v>
      </c>
      <c r="J1192" s="2">
        <v>5283.72</v>
      </c>
      <c r="K1192" s="2">
        <v>7034.04</v>
      </c>
      <c r="L1192" s="2">
        <v>1750.32</v>
      </c>
    </row>
    <row r="1193" spans="1:12" x14ac:dyDescent="0.3">
      <c r="A1193" s="6">
        <f ca="1">Table1[[#This Row],[Date]]*1</f>
        <v>45428</v>
      </c>
      <c r="B1193" t="s">
        <v>39</v>
      </c>
      <c r="C1193" t="s">
        <v>2</v>
      </c>
      <c r="D1193" t="s">
        <v>3</v>
      </c>
      <c r="E1193" t="s">
        <v>43</v>
      </c>
      <c r="F1193" t="s">
        <v>32</v>
      </c>
      <c r="G1193" s="2">
        <v>12</v>
      </c>
      <c r="H1193" s="2">
        <v>275.98</v>
      </c>
      <c r="I1193" s="2">
        <v>339.79</v>
      </c>
      <c r="J1193" s="2">
        <v>3311.76</v>
      </c>
      <c r="K1193" s="2">
        <v>4077.48</v>
      </c>
      <c r="L1193" s="2">
        <v>765.72</v>
      </c>
    </row>
    <row r="1194" spans="1:12" x14ac:dyDescent="0.3">
      <c r="A1194" s="6">
        <f ca="1">Table1[[#This Row],[Date]]*1</f>
        <v>45450</v>
      </c>
      <c r="B1194" t="s">
        <v>30</v>
      </c>
      <c r="C1194" t="s">
        <v>2</v>
      </c>
      <c r="D1194" t="s">
        <v>5</v>
      </c>
      <c r="E1194" t="s">
        <v>40</v>
      </c>
      <c r="F1194" t="s">
        <v>29</v>
      </c>
      <c r="G1194" s="2">
        <v>30</v>
      </c>
      <c r="H1194" s="2">
        <v>52.08</v>
      </c>
      <c r="I1194" s="2">
        <v>63.79</v>
      </c>
      <c r="J1194" s="2">
        <v>1562.4</v>
      </c>
      <c r="K1194" s="2">
        <v>1913.7</v>
      </c>
      <c r="L1194" s="2">
        <v>351.3</v>
      </c>
    </row>
    <row r="1195" spans="1:12" x14ac:dyDescent="0.3">
      <c r="A1195" s="6">
        <f ca="1">Table1[[#This Row],[Date]]*1</f>
        <v>45364</v>
      </c>
      <c r="B1195" t="s">
        <v>44</v>
      </c>
      <c r="C1195" t="s">
        <v>8</v>
      </c>
      <c r="D1195" t="s">
        <v>42</v>
      </c>
      <c r="E1195" t="s">
        <v>33</v>
      </c>
      <c r="F1195" t="s">
        <v>29</v>
      </c>
      <c r="G1195" s="2">
        <v>39</v>
      </c>
      <c r="H1195" s="2">
        <v>311.3</v>
      </c>
      <c r="I1195" s="2">
        <v>346.67</v>
      </c>
      <c r="J1195" s="2">
        <v>12140.7</v>
      </c>
      <c r="K1195" s="2">
        <v>13520.13</v>
      </c>
      <c r="L1195" s="2">
        <v>1379.43</v>
      </c>
    </row>
    <row r="1196" spans="1:12" x14ac:dyDescent="0.3">
      <c r="A1196" s="6">
        <f ca="1">Table1[[#This Row],[Date]]*1</f>
        <v>45496</v>
      </c>
      <c r="B1196" t="s">
        <v>34</v>
      </c>
      <c r="C1196" t="s">
        <v>11</v>
      </c>
      <c r="D1196" t="s">
        <v>12</v>
      </c>
      <c r="E1196" t="s">
        <v>31</v>
      </c>
      <c r="F1196" t="s">
        <v>29</v>
      </c>
      <c r="G1196" s="2">
        <v>41</v>
      </c>
      <c r="H1196" s="2">
        <v>356.55</v>
      </c>
      <c r="I1196" s="2">
        <v>408.15</v>
      </c>
      <c r="J1196" s="2">
        <v>14618.55</v>
      </c>
      <c r="K1196" s="2">
        <v>16734.150000000001</v>
      </c>
      <c r="L1196" s="2">
        <v>2115.6</v>
      </c>
    </row>
    <row r="1197" spans="1:12" x14ac:dyDescent="0.3">
      <c r="A1197" s="6">
        <f ca="1">Table1[[#This Row],[Date]]*1</f>
        <v>45341</v>
      </c>
      <c r="B1197" t="s">
        <v>34</v>
      </c>
      <c r="C1197" t="s">
        <v>8</v>
      </c>
      <c r="D1197" t="s">
        <v>9</v>
      </c>
      <c r="E1197" t="s">
        <v>43</v>
      </c>
      <c r="F1197" t="s">
        <v>32</v>
      </c>
      <c r="G1197" s="2">
        <v>15</v>
      </c>
      <c r="H1197" s="2">
        <v>793</v>
      </c>
      <c r="I1197" s="2">
        <v>929.38</v>
      </c>
      <c r="J1197" s="2">
        <v>11895</v>
      </c>
      <c r="K1197" s="2">
        <v>13940.7</v>
      </c>
      <c r="L1197" s="2">
        <v>2045.7</v>
      </c>
    </row>
    <row r="1198" spans="1:12" x14ac:dyDescent="0.3">
      <c r="A1198" s="6">
        <f ca="1">Table1[[#This Row],[Date]]*1</f>
        <v>45556</v>
      </c>
      <c r="B1198" t="s">
        <v>30</v>
      </c>
      <c r="C1198" t="s">
        <v>8</v>
      </c>
      <c r="D1198" t="s">
        <v>9</v>
      </c>
      <c r="E1198" t="s">
        <v>40</v>
      </c>
      <c r="F1198" t="s">
        <v>29</v>
      </c>
      <c r="G1198" s="2">
        <v>26</v>
      </c>
      <c r="H1198" s="2">
        <v>905.81</v>
      </c>
      <c r="I1198" s="2">
        <v>1284.3399999999999</v>
      </c>
      <c r="J1198" s="2">
        <v>23551.06</v>
      </c>
      <c r="K1198" s="2">
        <v>33392.839999999997</v>
      </c>
      <c r="L1198" s="2">
        <v>9841.7800000000007</v>
      </c>
    </row>
    <row r="1199" spans="1:12" x14ac:dyDescent="0.3">
      <c r="A1199" s="6">
        <f ca="1">Table1[[#This Row],[Date]]*1</f>
        <v>45597</v>
      </c>
      <c r="B1199" t="s">
        <v>36</v>
      </c>
      <c r="C1199" t="s">
        <v>2</v>
      </c>
      <c r="D1199" t="s">
        <v>14</v>
      </c>
      <c r="E1199" t="s">
        <v>43</v>
      </c>
      <c r="F1199" t="s">
        <v>32</v>
      </c>
      <c r="G1199" s="2">
        <v>18</v>
      </c>
      <c r="H1199" s="2">
        <v>660.1</v>
      </c>
      <c r="I1199" s="2">
        <v>835.79</v>
      </c>
      <c r="J1199" s="2">
        <v>11881.8</v>
      </c>
      <c r="K1199" s="2">
        <v>15044.22</v>
      </c>
      <c r="L1199" s="2">
        <v>3162.42</v>
      </c>
    </row>
    <row r="1200" spans="1:12" x14ac:dyDescent="0.3">
      <c r="A1200" s="6">
        <f ca="1">Table1[[#This Row],[Date]]*1</f>
        <v>45631</v>
      </c>
      <c r="B1200" t="s">
        <v>28</v>
      </c>
      <c r="C1200" t="s">
        <v>2</v>
      </c>
      <c r="D1200" t="s">
        <v>5</v>
      </c>
      <c r="E1200" t="s">
        <v>31</v>
      </c>
      <c r="F1200" t="s">
        <v>32</v>
      </c>
      <c r="G1200" s="2">
        <v>5</v>
      </c>
      <c r="H1200" s="2">
        <v>496.18</v>
      </c>
      <c r="I1200" s="2">
        <v>709.31</v>
      </c>
      <c r="J1200" s="2">
        <v>2480.9</v>
      </c>
      <c r="K1200" s="2">
        <v>3546.55</v>
      </c>
      <c r="L1200" s="2">
        <v>1065.6500000000001</v>
      </c>
    </row>
    <row r="1201" spans="1:12" x14ac:dyDescent="0.3">
      <c r="A1201" s="6">
        <f ca="1">Table1[[#This Row],[Date]]*1</f>
        <v>45610</v>
      </c>
      <c r="B1201" t="s">
        <v>36</v>
      </c>
      <c r="C1201" t="s">
        <v>2</v>
      </c>
      <c r="D1201" t="s">
        <v>14</v>
      </c>
      <c r="E1201" t="s">
        <v>31</v>
      </c>
      <c r="F1201" t="s">
        <v>32</v>
      </c>
      <c r="G1201" s="2">
        <v>32</v>
      </c>
      <c r="H1201" s="2">
        <v>819.25</v>
      </c>
      <c r="I1201" s="2">
        <v>1141.3800000000001</v>
      </c>
      <c r="J1201" s="2">
        <v>26216</v>
      </c>
      <c r="K1201" s="2">
        <v>36524.160000000003</v>
      </c>
      <c r="L1201" s="2">
        <v>10308.16</v>
      </c>
    </row>
  </sheetData>
  <sheetProtection algorithmName="SHA-512" hashValue="Z0XAV/frDjxb4Q8aHJrcGi+mL15TbDX06oDucCV2oLYGHWBFTWY354ZJMjoYcuTg2Ssl3wjMWKWVtX9K/pmViA==" saltValue="er2Wu0RCR9uZ7sqqJIwQBg==" spinCount="100000" sheet="1" formatCells="0" formatColumns="0" formatRows="0" insertColumns="0" insertRows="0" insertHyperlinks="0" deleteColumns="0" deleteRows="0" sort="0" autoFilter="0" pivotTables="0"/>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D2E92-B98F-455B-B402-99D7B89805FC}">
  <dimension ref="I12:M14"/>
  <sheetViews>
    <sheetView showGridLines="0" tabSelected="1" zoomScaleNormal="100" workbookViewId="0">
      <selection activeCell="G12" sqref="G12"/>
    </sheetView>
  </sheetViews>
  <sheetFormatPr defaultRowHeight="14.4" x14ac:dyDescent="0.3"/>
  <sheetData>
    <row r="12" spans="9:13" x14ac:dyDescent="0.3">
      <c r="I12" s="8" t="s">
        <v>63</v>
      </c>
      <c r="J12" s="8"/>
      <c r="K12" s="8"/>
      <c r="L12" s="8"/>
      <c r="M12" s="8"/>
    </row>
    <row r="13" spans="9:13" x14ac:dyDescent="0.3">
      <c r="I13" s="8"/>
      <c r="J13" s="8"/>
      <c r="K13" s="8"/>
      <c r="L13" s="8"/>
      <c r="M13" s="8"/>
    </row>
    <row r="14" spans="9:13" x14ac:dyDescent="0.3">
      <c r="I14" s="8"/>
      <c r="J14" s="8"/>
      <c r="K14" s="8"/>
      <c r="L14" s="8"/>
      <c r="M14" s="8"/>
    </row>
  </sheetData>
  <mergeCells count="1">
    <mergeCell ref="I12:M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AArush</cp:lastModifiedBy>
  <dcterms:created xsi:type="dcterms:W3CDTF">2026-03-21T06:15:00Z</dcterms:created>
  <dcterms:modified xsi:type="dcterms:W3CDTF">2026-03-21T15:13:07Z</dcterms:modified>
</cp:coreProperties>
</file>